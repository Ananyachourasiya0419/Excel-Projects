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200" windowHeight="6930" activeTab="4"/>
  </bookViews>
  <sheets>
    <sheet name="Sales Data" sheetId="1" r:id="rId1"/>
    <sheet name="Summary" sheetId="2" r:id="rId2"/>
    <sheet name="Read Me" sheetId="3" r:id="rId3"/>
    <sheet name="Charts" sheetId="4" r:id="rId4"/>
    <sheet name="DASHBOARD" sheetId="5" r:id="rId5"/>
  </sheets>
  <calcPr calcId="162913"/>
  <pivotCaches>
    <pivotCache cacheId="3" r:id="rId6"/>
    <pivotCache cacheId="9" r:id="rId7"/>
  </pivotCaches>
</workbook>
</file>

<file path=xl/calcChain.xml><?xml version="1.0" encoding="utf-8"?>
<calcChain xmlns="http://schemas.openxmlformats.org/spreadsheetml/2006/main">
  <c r="D36" i="2" l="1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E36" i="2" s="1"/>
  <c r="D32" i="1"/>
  <c r="E35" i="2" s="1"/>
  <c r="D31" i="1"/>
  <c r="E34" i="2" s="1"/>
  <c r="D30" i="1"/>
  <c r="E33" i="2" s="1"/>
  <c r="D29" i="1"/>
  <c r="E32" i="2" s="1"/>
  <c r="Q28" i="1"/>
  <c r="P28" i="1"/>
  <c r="O28" i="1"/>
  <c r="N28" i="1"/>
  <c r="D28" i="1"/>
  <c r="E31" i="2" s="1"/>
  <c r="Q27" i="1"/>
  <c r="P27" i="1"/>
  <c r="O27" i="1"/>
  <c r="N27" i="1"/>
  <c r="D27" i="1"/>
  <c r="E30" i="2" s="1"/>
  <c r="Q26" i="1"/>
  <c r="P26" i="1"/>
  <c r="O26" i="1"/>
  <c r="N26" i="1"/>
  <c r="K26" i="1"/>
  <c r="J26" i="1"/>
  <c r="D26" i="1"/>
  <c r="E29" i="2" s="1"/>
  <c r="Q25" i="1"/>
  <c r="K25" i="1"/>
  <c r="J25" i="1"/>
  <c r="D25" i="1"/>
  <c r="E28" i="2" s="1"/>
  <c r="K24" i="1"/>
  <c r="J24" i="1"/>
  <c r="D24" i="1"/>
  <c r="E27" i="2" s="1"/>
  <c r="K23" i="1"/>
  <c r="J23" i="1"/>
  <c r="D23" i="1"/>
  <c r="E26" i="2" s="1"/>
  <c r="K22" i="1"/>
  <c r="J22" i="1"/>
  <c r="D22" i="1"/>
  <c r="E25" i="2" s="1"/>
  <c r="K21" i="1"/>
  <c r="J21" i="1"/>
  <c r="D21" i="1"/>
  <c r="E24" i="2" s="1"/>
  <c r="K20" i="1"/>
  <c r="J20" i="1"/>
  <c r="D20" i="1"/>
  <c r="E23" i="2" s="1"/>
  <c r="K19" i="1"/>
  <c r="J19" i="1"/>
  <c r="D19" i="1"/>
  <c r="E22" i="2" s="1"/>
  <c r="K18" i="1"/>
  <c r="J18" i="1"/>
  <c r="D18" i="1"/>
  <c r="E21" i="2" s="1"/>
  <c r="K17" i="1"/>
  <c r="J17" i="1"/>
  <c r="D17" i="1"/>
  <c r="E20" i="2" s="1"/>
  <c r="K16" i="1"/>
  <c r="J16" i="1"/>
  <c r="D16" i="1"/>
  <c r="E19" i="2" s="1"/>
  <c r="K15" i="1"/>
  <c r="J15" i="1"/>
  <c r="D15" i="1"/>
  <c r="E18" i="2" s="1"/>
  <c r="K14" i="1"/>
  <c r="J14" i="1"/>
  <c r="D14" i="1"/>
  <c r="E17" i="2" s="1"/>
  <c r="K13" i="1"/>
  <c r="J13" i="1"/>
  <c r="D13" i="1"/>
  <c r="E16" i="2" s="1"/>
  <c r="J12" i="1"/>
  <c r="D12" i="1"/>
  <c r="E15" i="2" s="1"/>
  <c r="J11" i="1"/>
  <c r="D11" i="1"/>
  <c r="E14" i="2" s="1"/>
  <c r="D10" i="1"/>
  <c r="O25" i="1" s="1"/>
  <c r="D9" i="1"/>
  <c r="E12" i="2" s="1"/>
  <c r="D8" i="1"/>
  <c r="E11" i="2" s="1"/>
  <c r="D7" i="1"/>
  <c r="E10" i="2" s="1"/>
  <c r="J6" i="1"/>
  <c r="I6" i="1"/>
  <c r="D6" i="1"/>
  <c r="E9" i="2" s="1"/>
  <c r="Q5" i="1"/>
  <c r="P5" i="1"/>
  <c r="O5" i="1"/>
  <c r="N5" i="1"/>
  <c r="J5" i="1"/>
  <c r="I5" i="1"/>
  <c r="D5" i="1"/>
  <c r="E8" i="2" s="1"/>
  <c r="Q4" i="1"/>
  <c r="P4" i="1"/>
  <c r="O4" i="1"/>
  <c r="N4" i="1"/>
  <c r="J4" i="1"/>
  <c r="I4" i="1"/>
  <c r="D4" i="1"/>
  <c r="E7" i="2" s="1"/>
  <c r="Q3" i="1"/>
  <c r="P3" i="1"/>
  <c r="O3" i="1"/>
  <c r="N3" i="1"/>
  <c r="J3" i="1"/>
  <c r="I3" i="1"/>
  <c r="D3" i="1"/>
  <c r="E6" i="2" s="1"/>
  <c r="Q2" i="1"/>
  <c r="P2" i="1"/>
  <c r="O2" i="1"/>
  <c r="N2" i="1"/>
  <c r="D2" i="1"/>
  <c r="K11" i="1" s="1"/>
  <c r="K3" i="1"/>
  <c r="K4" i="1"/>
  <c r="K5" i="1"/>
  <c r="K6" i="1"/>
  <c r="P25" i="1" l="1"/>
  <c r="K12" i="1"/>
  <c r="N25" i="1"/>
  <c r="E5" i="2"/>
  <c r="E13" i="2"/>
</calcChain>
</file>

<file path=xl/sharedStrings.xml><?xml version="1.0" encoding="utf-8"?>
<sst xmlns="http://schemas.openxmlformats.org/spreadsheetml/2006/main" count="630" uniqueCount="74">
  <si>
    <t>Product</t>
  </si>
  <si>
    <t>Sales</t>
  </si>
  <si>
    <t>Expenses</t>
  </si>
  <si>
    <t>Profit</t>
  </si>
  <si>
    <t>Region</t>
  </si>
  <si>
    <t>Quarter</t>
  </si>
  <si>
    <t>Quarterly Metrics</t>
  </si>
  <si>
    <t>North</t>
  </si>
  <si>
    <t>South</t>
  </si>
  <si>
    <t>East</t>
  </si>
  <si>
    <t>West</t>
  </si>
  <si>
    <t>Laptop</t>
  </si>
  <si>
    <t>Q1</t>
  </si>
  <si>
    <t>Average Sales</t>
  </si>
  <si>
    <t>Total Expenses</t>
  </si>
  <si>
    <t>Maximum Profit</t>
  </si>
  <si>
    <t>Smartphone</t>
  </si>
  <si>
    <t>Q2</t>
  </si>
  <si>
    <t>Headphones</t>
  </si>
  <si>
    <t>Q3</t>
  </si>
  <si>
    <t>Monitor</t>
  </si>
  <si>
    <t>Q4</t>
  </si>
  <si>
    <t>Keyboard</t>
  </si>
  <si>
    <t>Mouse</t>
  </si>
  <si>
    <t>Tablet</t>
  </si>
  <si>
    <t>Printer</t>
  </si>
  <si>
    <t>Quarterly Trends by Region</t>
  </si>
  <si>
    <t>PROFIT TRACKER — SALES SUMMARY</t>
  </si>
  <si>
    <t>Formula-based summary starter. For a true PivotTable and Quarter slicer, follow the steps in the project guide.</t>
  </si>
  <si>
    <t>Total Sales</t>
  </si>
  <si>
    <t>Total Profit</t>
  </si>
  <si>
    <t>PivotTable + Slicer checklist</t>
  </si>
  <si>
    <t>1. Click inside SalesTable on Sales Data.</t>
  </si>
  <si>
    <t>2. Insert &gt; PivotTable &gt; From Table/Range.</t>
  </si>
  <si>
    <t>3. Choose Existing Worksheet: Summary!G12 (or New Worksheet).</t>
  </si>
  <si>
    <t>4. Rows: Region, then Product.</t>
  </si>
  <si>
    <t>5. Values: Sum of Sales, Sum of Expenses, Sum of Profit.</t>
  </si>
  <si>
    <t>6. PivotTable Design &gt; Subtotals &gt; Show all subtotals.</t>
  </si>
  <si>
    <t>7. Grand Totals &gt; On for Rows and Columns.</t>
  </si>
  <si>
    <t>8. Sort Sum of Profit largest to smallest within each region.</t>
  </si>
  <si>
    <t>9. PivotTable Analyze &gt; Insert Slicer &gt; Quarter &gt; OK.</t>
  </si>
  <si>
    <t>10. Move slicer near the PivotTable and test Q1–Q4.</t>
  </si>
  <si>
    <t>11. To refresh after edits: right-click PivotTable &gt; Refresh.</t>
  </si>
  <si>
    <t>Profit Tracker — Project Guide</t>
  </si>
  <si>
    <t>1. Dataset</t>
  </si>
  <si>
    <t>Sales Data contains 128 sample records: 8 products × 4 regions × 4 quarters. Sales and Expenses are sample INR values; Profit is calculated with a formula.</t>
  </si>
  <si>
    <t>2. Formulas</t>
  </si>
  <si>
    <t>Quarterly metrics are already set up in columns H:K using AVERAGEIF, SUMIFS, and MAXIFS. Change source values to see results recalculate in Excel.</t>
  </si>
  <si>
    <t>3. Charts</t>
  </si>
  <si>
    <t>Two line charts are included: quarterly Sales by Region and quarterly Profit by Region. The charts are formula-linked to the dataset.</t>
  </si>
  <si>
    <t>4. Conditional formatting</t>
  </si>
  <si>
    <t>Sales above ₹80,000 are highlighted green; Profit below ₹5,000 is highlighted red. Profit also uses a color scale.</t>
  </si>
  <si>
    <t>5. Sales validation</t>
  </si>
  <si>
    <t>Sales accepts positive numeric values only and shows an input message/error alert.</t>
  </si>
  <si>
    <t>6. Product uniqueness note</t>
  </si>
  <si>
    <t>The project brief's unique-product validation conflicts with the analysis dataset: the same product must appear in multiple regions/quarters for a meaningful PivotTable. Sample rows intentionally repeat product names. The validation rule is included for new entries, but Excel does not retroactively remove existing repeats. For real sales data, a product dropdown from a master list is usually better.</t>
  </si>
  <si>
    <t>7. Create true PivotTable</t>
  </si>
  <si>
    <t>On Sales Data, click any cell in SalesTable &gt; Insert &gt; PivotTable. Put it on Summary at G12 or choose New Worksheet. Add Region and Product to Rows; Sales, Expenses, Profit to Values as Sum.</t>
  </si>
  <si>
    <t>8. Subtotals &amp; grand totals</t>
  </si>
  <si>
    <t>In PivotTable Design, enable subtotals and grand totals for rows and columns.</t>
  </si>
  <si>
    <t>9. Highlight top product</t>
  </si>
  <si>
    <t>Sort Sum of Profit descending within each Region, or apply Home &gt; Conditional Formatting &gt; Top/Bottom Rules to the profit values. For a per-region top product, use a region-by-region sort/inspection or a separate formula ranking.</t>
  </si>
  <si>
    <t>10. Quarter slicer</t>
  </si>
  <si>
    <t>Select PivotTable &gt; PivotTable Analyze &gt; Insert Slicer &gt; check Quarter &gt; OK. Drag the slicer near the PivotTable and test each quarter.</t>
  </si>
  <si>
    <t>11. Save</t>
  </si>
  <si>
    <t>Save as .xlsx. Keep the original sample workbook as a backup before replacing or deleting data.</t>
  </si>
  <si>
    <t>Row Labels</t>
  </si>
  <si>
    <t>Grand Total</t>
  </si>
  <si>
    <t>Column Labels</t>
  </si>
  <si>
    <t>Sum of Sales</t>
  </si>
  <si>
    <t>Sum of Profit</t>
  </si>
  <si>
    <t>Sum of Expenses</t>
  </si>
  <si>
    <t>(All)</t>
  </si>
  <si>
    <t>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</si>
</sst>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#,##0.00"/>
    <numFmt numFmtId="165" formatCode="\₹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17365D"/>
      <name val="Calibri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  <xf numFmtId="165" fontId="0" fillId="0" borderId="0" xfId="0" applyNumberFormat="1"/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4" fillId="4" borderId="0" xfId="0" applyFont="1" applyFill="1"/>
    <xf numFmtId="0" fontId="0" fillId="4" borderId="0" xfId="0" applyFill="1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Quarterly Sales Trend by Region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'Sales Data'!$N$1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Data'!$N$2:$N$5</c:f>
              <c:numCache>
                <c:formatCode>General</c:formatCode>
                <c:ptCount val="4"/>
                <c:pt idx="0">
                  <c:v>178772.33999999997</c:v>
                </c:pt>
                <c:pt idx="1">
                  <c:v>196812.25</c:v>
                </c:pt>
                <c:pt idx="2">
                  <c:v>223007.53</c:v>
                </c:pt>
                <c:pt idx="3">
                  <c:v>232321.68999999997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EB-4C29-8AEF-71E8CE3104FB}"/>
            </c:ext>
          </c:extLst>
        </c:ser>
        <c:ser>
          <c:idx val="1"/>
          <c:order val="1"/>
          <c:tx>
            <c:strRef>
              <c:f>'Sales Data'!$O$1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Data'!$O$2:$O$5</c:f>
              <c:numCache>
                <c:formatCode>General</c:formatCode>
                <c:ptCount val="4"/>
                <c:pt idx="0">
                  <c:v>167559.26</c:v>
                </c:pt>
                <c:pt idx="1">
                  <c:v>189970.68</c:v>
                </c:pt>
                <c:pt idx="2">
                  <c:v>171876.91</c:v>
                </c:pt>
                <c:pt idx="3">
                  <c:v>228193.73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EB-4C29-8AEF-71E8CE3104FB}"/>
            </c:ext>
          </c:extLst>
        </c:ser>
        <c:ser>
          <c:idx val="2"/>
          <c:order val="2"/>
          <c:tx>
            <c:strRef>
              <c:f>'Sales Data'!$P$1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Data'!$P$2:$P$5</c:f>
              <c:numCache>
                <c:formatCode>General</c:formatCode>
                <c:ptCount val="4"/>
                <c:pt idx="0">
                  <c:v>171984.49</c:v>
                </c:pt>
                <c:pt idx="1">
                  <c:v>191941.90999999997</c:v>
                </c:pt>
                <c:pt idx="2">
                  <c:v>197248.68000000002</c:v>
                </c:pt>
                <c:pt idx="3">
                  <c:v>203115.31000000003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1EB-4C29-8AEF-71E8CE3104FB}"/>
            </c:ext>
          </c:extLst>
        </c:ser>
        <c:ser>
          <c:idx val="3"/>
          <c:order val="3"/>
          <c:tx>
            <c:strRef>
              <c:f>'Sales Data'!$Q$1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Data'!$Q$2:$Q$5</c:f>
              <c:numCache>
                <c:formatCode>General</c:formatCode>
                <c:ptCount val="4"/>
                <c:pt idx="0">
                  <c:v>168962.7</c:v>
                </c:pt>
                <c:pt idx="1">
                  <c:v>199409.58000000002</c:v>
                </c:pt>
                <c:pt idx="2">
                  <c:v>219902.77</c:v>
                </c:pt>
                <c:pt idx="3">
                  <c:v>269768.8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1EB-4C29-8AEF-71E8CE31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(₹)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Quarterly Profit Trend by Region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'Sales Data'!$N$24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Data'!$N$25:$N$28</c:f>
              <c:numCache>
                <c:formatCode>General</c:formatCode>
                <c:ptCount val="4"/>
                <c:pt idx="0">
                  <c:v>50009.100000000006</c:v>
                </c:pt>
                <c:pt idx="1">
                  <c:v>51658.60000000002</c:v>
                </c:pt>
                <c:pt idx="2">
                  <c:v>69564.590000000011</c:v>
                </c:pt>
                <c:pt idx="3">
                  <c:v>65562.599999999991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5A-4B6F-B932-9A74B64AB010}"/>
            </c:ext>
          </c:extLst>
        </c:ser>
        <c:ser>
          <c:idx val="1"/>
          <c:order val="1"/>
          <c:tx>
            <c:strRef>
              <c:f>'Sales Data'!$O$24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Data'!$O$25:$O$28</c:f>
              <c:numCache>
                <c:formatCode>General</c:formatCode>
                <c:ptCount val="4"/>
                <c:pt idx="0">
                  <c:v>48014.48</c:v>
                </c:pt>
                <c:pt idx="1">
                  <c:v>47124.179999999986</c:v>
                </c:pt>
                <c:pt idx="2">
                  <c:v>56581.770000000004</c:v>
                </c:pt>
                <c:pt idx="3">
                  <c:v>65575.079999999987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5A-4B6F-B932-9A74B64AB010}"/>
            </c:ext>
          </c:extLst>
        </c:ser>
        <c:ser>
          <c:idx val="2"/>
          <c:order val="2"/>
          <c:tx>
            <c:strRef>
              <c:f>'Sales Data'!$P$24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Data'!$P$25:$P$28</c:f>
              <c:numCache>
                <c:formatCode>General</c:formatCode>
                <c:ptCount val="4"/>
                <c:pt idx="0">
                  <c:v>46040.260000000009</c:v>
                </c:pt>
                <c:pt idx="1">
                  <c:v>58961.999999999993</c:v>
                </c:pt>
                <c:pt idx="2">
                  <c:v>58594.11</c:v>
                </c:pt>
                <c:pt idx="3">
                  <c:v>48374.020000000004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5A-4B6F-B932-9A74B64AB010}"/>
            </c:ext>
          </c:extLst>
        </c:ser>
        <c:ser>
          <c:idx val="3"/>
          <c:order val="3"/>
          <c:tx>
            <c:strRef>
              <c:f>'Sales Data'!$Q$24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Data'!$Q$25:$Q$28</c:f>
              <c:numCache>
                <c:formatCode>General</c:formatCode>
                <c:ptCount val="4"/>
                <c:pt idx="0">
                  <c:v>50022.3</c:v>
                </c:pt>
                <c:pt idx="1">
                  <c:v>51869.85</c:v>
                </c:pt>
                <c:pt idx="2">
                  <c:v>67462.03</c:v>
                </c:pt>
                <c:pt idx="3">
                  <c:v>70513.739999999991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75A-4B6F-B932-9A74B64AB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Quarter</a:t>
            </a:r>
            <a:endParaRPr lang="en-US" b="1"/>
          </a:p>
        </c:rich>
      </c:tx>
      <c:layout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Charts!$B$3:$B$4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Charts!$B$5:$B$9</c:f>
              <c:numCache>
                <c:formatCode>General</c:formatCode>
                <c:ptCount val="4"/>
                <c:pt idx="0">
                  <c:v>171984.49</c:v>
                </c:pt>
                <c:pt idx="1">
                  <c:v>191941.90999999997</c:v>
                </c:pt>
                <c:pt idx="2">
                  <c:v>197248.68000000002</c:v>
                </c:pt>
                <c:pt idx="3">
                  <c:v>203115.31000000003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8-47AD-822F-721A5195D8FE}"/>
            </c:ext>
          </c:extLst>
        </c:ser>
        <c:ser>
          <c:idx val="1"/>
          <c:order val="1"/>
          <c:tx>
            <c:strRef>
              <c:f>Charts!$C$3:$C$4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Charts!$C$5:$C$9</c:f>
              <c:numCache>
                <c:formatCode>General</c:formatCode>
                <c:ptCount val="4"/>
                <c:pt idx="0">
                  <c:v>178772.33999999997</c:v>
                </c:pt>
                <c:pt idx="1">
                  <c:v>196812.25</c:v>
                </c:pt>
                <c:pt idx="2">
                  <c:v>223007.53</c:v>
                </c:pt>
                <c:pt idx="3">
                  <c:v>232321.68999999997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8-47AD-822F-721A5195D8FE}"/>
            </c:ext>
          </c:extLst>
        </c:ser>
        <c:ser>
          <c:idx val="2"/>
          <c:order val="2"/>
          <c:tx>
            <c:strRef>
              <c:f>Charts!$D$3:$D$4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Charts!$D$5:$D$9</c:f>
              <c:numCache>
                <c:formatCode>General</c:formatCode>
                <c:ptCount val="4"/>
                <c:pt idx="0">
                  <c:v>167559.26</c:v>
                </c:pt>
                <c:pt idx="1">
                  <c:v>189970.68</c:v>
                </c:pt>
                <c:pt idx="2">
                  <c:v>171876.91</c:v>
                </c:pt>
                <c:pt idx="3">
                  <c:v>228193.73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8-47AD-822F-721A5195D8FE}"/>
            </c:ext>
          </c:extLst>
        </c:ser>
        <c:ser>
          <c:idx val="3"/>
          <c:order val="3"/>
          <c:tx>
            <c:strRef>
              <c:f>Charts!$E$3:$E$4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Charts!$E$5:$E$9</c:f>
              <c:numCache>
                <c:formatCode>General</c:formatCode>
                <c:ptCount val="4"/>
                <c:pt idx="0">
                  <c:v>168962.7</c:v>
                </c:pt>
                <c:pt idx="1">
                  <c:v>199409.58000000002</c:v>
                </c:pt>
                <c:pt idx="2">
                  <c:v>219902.77</c:v>
                </c:pt>
                <c:pt idx="3">
                  <c:v>269768.8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38-47AD-822F-721A5195D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116560"/>
        <c:axId val="1182120304"/>
      </c:lineChart>
      <c:catAx>
        <c:axId val="11821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20304"/>
        <c:crosses val="autoZero"/>
        <c:auto val="1"/>
        <c:lblAlgn val="ctr"/>
        <c:lblOffset val="100"/>
        <c:noMultiLvlLbl val="0"/>
      </c:catAx>
      <c:valAx>
        <c:axId val="11821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1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Profit By Quarter</a:t>
            </a:r>
            <a:endParaRPr lang="en-US" b="1"/>
          </a:p>
        </c:rich>
      </c:tx>
      <c:layout/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Charts!$B$29:$B$30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Charts!$B$31:$B$35</c:f>
              <c:numCache>
                <c:formatCode>General</c:formatCode>
                <c:ptCount val="4"/>
                <c:pt idx="0">
                  <c:v>46040.260000000009</c:v>
                </c:pt>
                <c:pt idx="1">
                  <c:v>58961.999999999993</c:v>
                </c:pt>
                <c:pt idx="2">
                  <c:v>58594.11</c:v>
                </c:pt>
                <c:pt idx="3">
                  <c:v>48374.020000000004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A-4E99-A4D3-8F46DFB506E1}"/>
            </c:ext>
          </c:extLst>
        </c:ser>
        <c:ser>
          <c:idx val="1"/>
          <c:order val="1"/>
          <c:tx>
            <c:strRef>
              <c:f>Charts!$C$29:$C$30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Charts!$C$31:$C$35</c:f>
              <c:numCache>
                <c:formatCode>General</c:formatCode>
                <c:ptCount val="4"/>
                <c:pt idx="0">
                  <c:v>50009.100000000006</c:v>
                </c:pt>
                <c:pt idx="1">
                  <c:v>51658.60000000002</c:v>
                </c:pt>
                <c:pt idx="2">
                  <c:v>69564.590000000011</c:v>
                </c:pt>
                <c:pt idx="3">
                  <c:v>65562.599999999991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A-4E99-A4D3-8F46DFB506E1}"/>
            </c:ext>
          </c:extLst>
        </c:ser>
        <c:ser>
          <c:idx val="2"/>
          <c:order val="2"/>
          <c:tx>
            <c:strRef>
              <c:f>Charts!$D$29:$D$30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Charts!$D$31:$D$35</c:f>
              <c:numCache>
                <c:formatCode>General</c:formatCode>
                <c:ptCount val="4"/>
                <c:pt idx="0">
                  <c:v>48014.48</c:v>
                </c:pt>
                <c:pt idx="1">
                  <c:v>47124.179999999986</c:v>
                </c:pt>
                <c:pt idx="2">
                  <c:v>56581.770000000004</c:v>
                </c:pt>
                <c:pt idx="3">
                  <c:v>65575.079999999987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A-4E99-A4D3-8F46DFB506E1}"/>
            </c:ext>
          </c:extLst>
        </c:ser>
        <c:ser>
          <c:idx val="3"/>
          <c:order val="3"/>
          <c:tx>
            <c:strRef>
              <c:f>Charts!$E$29:$E$30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Charts!$E$31:$E$35</c:f>
              <c:numCache>
                <c:formatCode>General</c:formatCode>
                <c:ptCount val="4"/>
                <c:pt idx="0">
                  <c:v>50022.3</c:v>
                </c:pt>
                <c:pt idx="1">
                  <c:v>51869.85</c:v>
                </c:pt>
                <c:pt idx="2">
                  <c:v>67462.03</c:v>
                </c:pt>
                <c:pt idx="3">
                  <c:v>70513.739999999991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4A-4E99-A4D3-8F46DFB50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064320"/>
        <c:axId val="1331061408"/>
      </c:barChart>
      <c:catAx>
        <c:axId val="133106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61408"/>
        <c:crosses val="autoZero"/>
        <c:auto val="1"/>
        <c:lblAlgn val="ctr"/>
        <c:lblOffset val="100"/>
        <c:noMultiLvlLbl val="0"/>
      </c:catAx>
      <c:valAx>
        <c:axId val="133106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6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Sales Trend by Region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'Sales Data'!$N$1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Data'!$N$2:$N$5</c:f>
              <c:numCache>
                <c:formatCode>General</c:formatCode>
                <c:ptCount val="4"/>
                <c:pt idx="0">
                  <c:v>178772.33999999997</c:v>
                </c:pt>
                <c:pt idx="1">
                  <c:v>196812.25</c:v>
                </c:pt>
                <c:pt idx="2">
                  <c:v>223007.53</c:v>
                </c:pt>
                <c:pt idx="3">
                  <c:v>232321.68999999997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07-4051-986F-32CB72B56E84}"/>
            </c:ext>
          </c:extLst>
        </c:ser>
        <c:ser>
          <c:idx val="1"/>
          <c:order val="1"/>
          <c:tx>
            <c:strRef>
              <c:f>'Sales Data'!$O$1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Data'!$O$2:$O$5</c:f>
              <c:numCache>
                <c:formatCode>General</c:formatCode>
                <c:ptCount val="4"/>
                <c:pt idx="0">
                  <c:v>167559.26</c:v>
                </c:pt>
                <c:pt idx="1">
                  <c:v>189970.68</c:v>
                </c:pt>
                <c:pt idx="2">
                  <c:v>171876.91</c:v>
                </c:pt>
                <c:pt idx="3">
                  <c:v>228193.73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07-4051-986F-32CB72B56E84}"/>
            </c:ext>
          </c:extLst>
        </c:ser>
        <c:ser>
          <c:idx val="2"/>
          <c:order val="2"/>
          <c:tx>
            <c:strRef>
              <c:f>'Sales Data'!$P$1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Data'!$P$2:$P$5</c:f>
              <c:numCache>
                <c:formatCode>General</c:formatCode>
                <c:ptCount val="4"/>
                <c:pt idx="0">
                  <c:v>171984.49</c:v>
                </c:pt>
                <c:pt idx="1">
                  <c:v>191941.90999999997</c:v>
                </c:pt>
                <c:pt idx="2">
                  <c:v>197248.68000000002</c:v>
                </c:pt>
                <c:pt idx="3">
                  <c:v>203115.31000000003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407-4051-986F-32CB72B56E84}"/>
            </c:ext>
          </c:extLst>
        </c:ser>
        <c:ser>
          <c:idx val="3"/>
          <c:order val="3"/>
          <c:tx>
            <c:strRef>
              <c:f>'Sales Data'!$Q$1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Data'!$Q$2:$Q$5</c:f>
              <c:numCache>
                <c:formatCode>General</c:formatCode>
                <c:ptCount val="4"/>
                <c:pt idx="0">
                  <c:v>168962.7</c:v>
                </c:pt>
                <c:pt idx="1">
                  <c:v>199409.58000000002</c:v>
                </c:pt>
                <c:pt idx="2">
                  <c:v>219902.77</c:v>
                </c:pt>
                <c:pt idx="3">
                  <c:v>269768.8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407-4051-986F-32CB72B56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(₹)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Profit Trend by Region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'Sales Data'!$N$24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Data'!$N$25:$N$28</c:f>
              <c:numCache>
                <c:formatCode>General</c:formatCode>
                <c:ptCount val="4"/>
                <c:pt idx="0">
                  <c:v>50009.100000000006</c:v>
                </c:pt>
                <c:pt idx="1">
                  <c:v>51658.60000000002</c:v>
                </c:pt>
                <c:pt idx="2">
                  <c:v>69564.590000000011</c:v>
                </c:pt>
                <c:pt idx="3">
                  <c:v>65562.599999999991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2A-46BE-9F64-1CF65E650B91}"/>
            </c:ext>
          </c:extLst>
        </c:ser>
        <c:ser>
          <c:idx val="1"/>
          <c:order val="1"/>
          <c:tx>
            <c:strRef>
              <c:f>'Sales Data'!$O$24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Data'!$O$25:$O$28</c:f>
              <c:numCache>
                <c:formatCode>General</c:formatCode>
                <c:ptCount val="4"/>
                <c:pt idx="0">
                  <c:v>48014.48</c:v>
                </c:pt>
                <c:pt idx="1">
                  <c:v>47124.179999999986</c:v>
                </c:pt>
                <c:pt idx="2">
                  <c:v>56581.770000000004</c:v>
                </c:pt>
                <c:pt idx="3">
                  <c:v>65575.079999999987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2A-46BE-9F64-1CF65E650B91}"/>
            </c:ext>
          </c:extLst>
        </c:ser>
        <c:ser>
          <c:idx val="2"/>
          <c:order val="2"/>
          <c:tx>
            <c:strRef>
              <c:f>'Sales Data'!$P$24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Data'!$P$25:$P$28</c:f>
              <c:numCache>
                <c:formatCode>General</c:formatCode>
                <c:ptCount val="4"/>
                <c:pt idx="0">
                  <c:v>46040.260000000009</c:v>
                </c:pt>
                <c:pt idx="1">
                  <c:v>58961.999999999993</c:v>
                </c:pt>
                <c:pt idx="2">
                  <c:v>58594.11</c:v>
                </c:pt>
                <c:pt idx="3">
                  <c:v>48374.020000000004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2A-46BE-9F64-1CF65E650B91}"/>
            </c:ext>
          </c:extLst>
        </c:ser>
        <c:ser>
          <c:idx val="3"/>
          <c:order val="3"/>
          <c:tx>
            <c:strRef>
              <c:f>'Sales Data'!$Q$24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Data'!$Q$25:$Q$28</c:f>
              <c:numCache>
                <c:formatCode>General</c:formatCode>
                <c:ptCount val="4"/>
                <c:pt idx="0">
                  <c:v>50022.3</c:v>
                </c:pt>
                <c:pt idx="1">
                  <c:v>51869.85</c:v>
                </c:pt>
                <c:pt idx="2">
                  <c:v>67462.03</c:v>
                </c:pt>
                <c:pt idx="3">
                  <c:v>70513.739999999991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2A-46BE-9F64-1CF65E650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Dashboard.xlsx]Charts!PivotTable3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Charts!$B$41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Charts!$A$42:$A$78</c:f>
              <c:multiLvlStrCache>
                <c:ptCount val="32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Printer</c:v>
                  </c:pt>
                  <c:pt idx="6">
                    <c:v>Smartphone</c:v>
                  </c:pt>
                  <c:pt idx="7">
                    <c:v>Tablet</c:v>
                  </c:pt>
                  <c:pt idx="8">
                    <c:v>Headphones</c:v>
                  </c:pt>
                  <c:pt idx="9">
                    <c:v>Keyboard</c:v>
                  </c:pt>
                  <c:pt idx="10">
                    <c:v>Laptop</c:v>
                  </c:pt>
                  <c:pt idx="11">
                    <c:v>Monitor</c:v>
                  </c:pt>
                  <c:pt idx="12">
                    <c:v>Mouse</c:v>
                  </c:pt>
                  <c:pt idx="13">
                    <c:v>Printer</c:v>
                  </c:pt>
                  <c:pt idx="14">
                    <c:v>Smartphone</c:v>
                  </c:pt>
                  <c:pt idx="15">
                    <c:v>Tablet</c:v>
                  </c:pt>
                  <c:pt idx="16">
                    <c:v>Headphones</c:v>
                  </c:pt>
                  <c:pt idx="17">
                    <c:v>Keyboard</c:v>
                  </c:pt>
                  <c:pt idx="18">
                    <c:v>Laptop</c:v>
                  </c:pt>
                  <c:pt idx="19">
                    <c:v>Monitor</c:v>
                  </c:pt>
                  <c:pt idx="20">
                    <c:v>Mouse</c:v>
                  </c:pt>
                  <c:pt idx="21">
                    <c:v>Printer</c:v>
                  </c:pt>
                  <c:pt idx="22">
                    <c:v>Smartphone</c:v>
                  </c:pt>
                  <c:pt idx="23">
                    <c:v>Tablet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Printer</c:v>
                  </c:pt>
                  <c:pt idx="30">
                    <c:v>Smartphone</c:v>
                  </c:pt>
                  <c:pt idx="31">
                    <c:v>Tablet</c:v>
                  </c:pt>
                </c:lvl>
                <c:lvl>
                  <c:pt idx="0">
                    <c:v>East</c:v>
                  </c:pt>
                  <c:pt idx="8">
                    <c:v>North</c:v>
                  </c:pt>
                  <c:pt idx="16">
                    <c:v>South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Charts!$B$42:$B$78</c:f>
              <c:numCache>
                <c:formatCode>General</c:formatCode>
                <c:ptCount val="32"/>
                <c:pt idx="0">
                  <c:v>29594.129999999997</c:v>
                </c:pt>
                <c:pt idx="1">
                  <c:v>10050.380000000001</c:v>
                </c:pt>
                <c:pt idx="2">
                  <c:v>319003.11000000004</c:v>
                </c:pt>
                <c:pt idx="3">
                  <c:v>77565.13</c:v>
                </c:pt>
                <c:pt idx="4">
                  <c:v>5136.91</c:v>
                </c:pt>
                <c:pt idx="5">
                  <c:v>59117.99</c:v>
                </c:pt>
                <c:pt idx="6">
                  <c:v>166479.99</c:v>
                </c:pt>
                <c:pt idx="7">
                  <c:v>97342.75</c:v>
                </c:pt>
                <c:pt idx="8">
                  <c:v>27154.47</c:v>
                </c:pt>
                <c:pt idx="9">
                  <c:v>10274.17</c:v>
                </c:pt>
                <c:pt idx="10">
                  <c:v>314861.12000000005</c:v>
                </c:pt>
                <c:pt idx="11">
                  <c:v>74243.61</c:v>
                </c:pt>
                <c:pt idx="12">
                  <c:v>5260.48</c:v>
                </c:pt>
                <c:pt idx="13">
                  <c:v>68515.92</c:v>
                </c:pt>
                <c:pt idx="14">
                  <c:v>214069.37</c:v>
                </c:pt>
                <c:pt idx="15">
                  <c:v>116534.66999999998</c:v>
                </c:pt>
                <c:pt idx="16">
                  <c:v>26650.14</c:v>
                </c:pt>
                <c:pt idx="17">
                  <c:v>11272.470000000001</c:v>
                </c:pt>
                <c:pt idx="18">
                  <c:v>290345.28000000003</c:v>
                </c:pt>
                <c:pt idx="19">
                  <c:v>76168.09</c:v>
                </c:pt>
                <c:pt idx="20">
                  <c:v>5729.7599999999993</c:v>
                </c:pt>
                <c:pt idx="21">
                  <c:v>57163.659999999996</c:v>
                </c:pt>
                <c:pt idx="22">
                  <c:v>184026.36999999997</c:v>
                </c:pt>
                <c:pt idx="23">
                  <c:v>106244.81</c:v>
                </c:pt>
                <c:pt idx="24">
                  <c:v>29369.82</c:v>
                </c:pt>
                <c:pt idx="25">
                  <c:v>11685.990000000002</c:v>
                </c:pt>
                <c:pt idx="26">
                  <c:v>351785.95999999996</c:v>
                </c:pt>
                <c:pt idx="27">
                  <c:v>77361.239999999991</c:v>
                </c:pt>
                <c:pt idx="28">
                  <c:v>5866.1100000000006</c:v>
                </c:pt>
                <c:pt idx="29">
                  <c:v>62552.46</c:v>
                </c:pt>
                <c:pt idx="30">
                  <c:v>210815.49</c:v>
                </c:pt>
                <c:pt idx="31">
                  <c:v>108606.78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4-4E02-8B77-164960FAC7E8}"/>
            </c:ext>
          </c:extLst>
        </c:ser>
        <c:ser>
          <c:idx val="1"/>
          <c:order val="1"/>
          <c:tx>
            <c:strRef>
              <c:f>Charts!$C$41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Charts!$A$42:$A$78</c:f>
              <c:multiLvlStrCache>
                <c:ptCount val="32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Printer</c:v>
                  </c:pt>
                  <c:pt idx="6">
                    <c:v>Smartphone</c:v>
                  </c:pt>
                  <c:pt idx="7">
                    <c:v>Tablet</c:v>
                  </c:pt>
                  <c:pt idx="8">
                    <c:v>Headphones</c:v>
                  </c:pt>
                  <c:pt idx="9">
                    <c:v>Keyboard</c:v>
                  </c:pt>
                  <c:pt idx="10">
                    <c:v>Laptop</c:v>
                  </c:pt>
                  <c:pt idx="11">
                    <c:v>Monitor</c:v>
                  </c:pt>
                  <c:pt idx="12">
                    <c:v>Mouse</c:v>
                  </c:pt>
                  <c:pt idx="13">
                    <c:v>Printer</c:v>
                  </c:pt>
                  <c:pt idx="14">
                    <c:v>Smartphone</c:v>
                  </c:pt>
                  <c:pt idx="15">
                    <c:v>Tablet</c:v>
                  </c:pt>
                  <c:pt idx="16">
                    <c:v>Headphones</c:v>
                  </c:pt>
                  <c:pt idx="17">
                    <c:v>Keyboard</c:v>
                  </c:pt>
                  <c:pt idx="18">
                    <c:v>Laptop</c:v>
                  </c:pt>
                  <c:pt idx="19">
                    <c:v>Monitor</c:v>
                  </c:pt>
                  <c:pt idx="20">
                    <c:v>Mouse</c:v>
                  </c:pt>
                  <c:pt idx="21">
                    <c:v>Printer</c:v>
                  </c:pt>
                  <c:pt idx="22">
                    <c:v>Smartphone</c:v>
                  </c:pt>
                  <c:pt idx="23">
                    <c:v>Tablet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Printer</c:v>
                  </c:pt>
                  <c:pt idx="30">
                    <c:v>Smartphone</c:v>
                  </c:pt>
                  <c:pt idx="31">
                    <c:v>Tablet</c:v>
                  </c:pt>
                </c:lvl>
                <c:lvl>
                  <c:pt idx="0">
                    <c:v>East</c:v>
                  </c:pt>
                  <c:pt idx="8">
                    <c:v>North</c:v>
                  </c:pt>
                  <c:pt idx="16">
                    <c:v>South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Charts!$C$42:$C$78</c:f>
              <c:numCache>
                <c:formatCode>General</c:formatCode>
                <c:ptCount val="32"/>
                <c:pt idx="0">
                  <c:v>7551.3399999999992</c:v>
                </c:pt>
                <c:pt idx="1">
                  <c:v>2648.2400000000002</c:v>
                </c:pt>
                <c:pt idx="2">
                  <c:v>103291.56</c:v>
                </c:pt>
                <c:pt idx="3">
                  <c:v>23418.069999999996</c:v>
                </c:pt>
                <c:pt idx="4">
                  <c:v>1256.7199999999998</c:v>
                </c:pt>
                <c:pt idx="5">
                  <c:v>14693.330000000002</c:v>
                </c:pt>
                <c:pt idx="6">
                  <c:v>36893.33</c:v>
                </c:pt>
                <c:pt idx="7">
                  <c:v>22217.800000000003</c:v>
                </c:pt>
                <c:pt idx="8">
                  <c:v>5231.7299999999987</c:v>
                </c:pt>
                <c:pt idx="9">
                  <c:v>2710.1899999999996</c:v>
                </c:pt>
                <c:pt idx="10">
                  <c:v>83098.530000000028</c:v>
                </c:pt>
                <c:pt idx="11">
                  <c:v>21269.89</c:v>
                </c:pt>
                <c:pt idx="12">
                  <c:v>1458.7</c:v>
                </c:pt>
                <c:pt idx="13">
                  <c:v>22954.2</c:v>
                </c:pt>
                <c:pt idx="14">
                  <c:v>64971.74</c:v>
                </c:pt>
                <c:pt idx="15">
                  <c:v>35099.909999999996</c:v>
                </c:pt>
                <c:pt idx="16">
                  <c:v>6439.3399999999983</c:v>
                </c:pt>
                <c:pt idx="17">
                  <c:v>2959.9700000000003</c:v>
                </c:pt>
                <c:pt idx="18">
                  <c:v>90868.34</c:v>
                </c:pt>
                <c:pt idx="19">
                  <c:v>20027.050000000003</c:v>
                </c:pt>
                <c:pt idx="20">
                  <c:v>1760.4900000000002</c:v>
                </c:pt>
                <c:pt idx="21">
                  <c:v>12764.639999999998</c:v>
                </c:pt>
                <c:pt idx="22">
                  <c:v>52839.929999999993</c:v>
                </c:pt>
                <c:pt idx="23">
                  <c:v>29635.750000000007</c:v>
                </c:pt>
                <c:pt idx="24">
                  <c:v>7270.12</c:v>
                </c:pt>
                <c:pt idx="25">
                  <c:v>3377.07</c:v>
                </c:pt>
                <c:pt idx="26">
                  <c:v>88683.54</c:v>
                </c:pt>
                <c:pt idx="27">
                  <c:v>26806.78</c:v>
                </c:pt>
                <c:pt idx="28">
                  <c:v>1312.5500000000002</c:v>
                </c:pt>
                <c:pt idx="29">
                  <c:v>14561.75</c:v>
                </c:pt>
                <c:pt idx="30">
                  <c:v>67615.890000000014</c:v>
                </c:pt>
                <c:pt idx="31">
                  <c:v>30240.219999999998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4-4E02-8B77-164960FAC7E8}"/>
            </c:ext>
          </c:extLst>
        </c:ser>
        <c:ser>
          <c:idx val="2"/>
          <c:order val="2"/>
          <c:tx>
            <c:strRef>
              <c:f>Charts!$D$41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Charts!$A$42:$A$78</c:f>
              <c:multiLvlStrCache>
                <c:ptCount val="32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Printer</c:v>
                  </c:pt>
                  <c:pt idx="6">
                    <c:v>Smartphone</c:v>
                  </c:pt>
                  <c:pt idx="7">
                    <c:v>Tablet</c:v>
                  </c:pt>
                  <c:pt idx="8">
                    <c:v>Headphones</c:v>
                  </c:pt>
                  <c:pt idx="9">
                    <c:v>Keyboard</c:v>
                  </c:pt>
                  <c:pt idx="10">
                    <c:v>Laptop</c:v>
                  </c:pt>
                  <c:pt idx="11">
                    <c:v>Monitor</c:v>
                  </c:pt>
                  <c:pt idx="12">
                    <c:v>Mouse</c:v>
                  </c:pt>
                  <c:pt idx="13">
                    <c:v>Printer</c:v>
                  </c:pt>
                  <c:pt idx="14">
                    <c:v>Smartphone</c:v>
                  </c:pt>
                  <c:pt idx="15">
                    <c:v>Tablet</c:v>
                  </c:pt>
                  <c:pt idx="16">
                    <c:v>Headphones</c:v>
                  </c:pt>
                  <c:pt idx="17">
                    <c:v>Keyboard</c:v>
                  </c:pt>
                  <c:pt idx="18">
                    <c:v>Laptop</c:v>
                  </c:pt>
                  <c:pt idx="19">
                    <c:v>Monitor</c:v>
                  </c:pt>
                  <c:pt idx="20">
                    <c:v>Mouse</c:v>
                  </c:pt>
                  <c:pt idx="21">
                    <c:v>Printer</c:v>
                  </c:pt>
                  <c:pt idx="22">
                    <c:v>Smartphone</c:v>
                  </c:pt>
                  <c:pt idx="23">
                    <c:v>Tablet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Printer</c:v>
                  </c:pt>
                  <c:pt idx="30">
                    <c:v>Smartphone</c:v>
                  </c:pt>
                  <c:pt idx="31">
                    <c:v>Tablet</c:v>
                  </c:pt>
                </c:lvl>
                <c:lvl>
                  <c:pt idx="0">
                    <c:v>East</c:v>
                  </c:pt>
                  <c:pt idx="8">
                    <c:v>North</c:v>
                  </c:pt>
                  <c:pt idx="16">
                    <c:v>South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Charts!$D$42:$D$78</c:f>
              <c:numCache>
                <c:formatCode>General</c:formatCode>
                <c:ptCount val="32"/>
                <c:pt idx="0">
                  <c:v>22042.79</c:v>
                </c:pt>
                <c:pt idx="1">
                  <c:v>7402.14</c:v>
                </c:pt>
                <c:pt idx="2">
                  <c:v>215711.55</c:v>
                </c:pt>
                <c:pt idx="3">
                  <c:v>54147.060000000005</c:v>
                </c:pt>
                <c:pt idx="4">
                  <c:v>3880.1900000000005</c:v>
                </c:pt>
                <c:pt idx="5">
                  <c:v>44424.659999999996</c:v>
                </c:pt>
                <c:pt idx="6">
                  <c:v>129586.66</c:v>
                </c:pt>
                <c:pt idx="7">
                  <c:v>75124.950000000012</c:v>
                </c:pt>
                <c:pt idx="8">
                  <c:v>21922.739999999998</c:v>
                </c:pt>
                <c:pt idx="9">
                  <c:v>7563.98</c:v>
                </c:pt>
                <c:pt idx="10">
                  <c:v>231762.58999999997</c:v>
                </c:pt>
                <c:pt idx="11">
                  <c:v>52973.72</c:v>
                </c:pt>
                <c:pt idx="12">
                  <c:v>3801.7799999999997</c:v>
                </c:pt>
                <c:pt idx="13">
                  <c:v>45561.72</c:v>
                </c:pt>
                <c:pt idx="14">
                  <c:v>149097.63</c:v>
                </c:pt>
                <c:pt idx="15">
                  <c:v>81434.759999999995</c:v>
                </c:pt>
                <c:pt idx="16">
                  <c:v>20210.800000000003</c:v>
                </c:pt>
                <c:pt idx="17">
                  <c:v>8312.5</c:v>
                </c:pt>
                <c:pt idx="18">
                  <c:v>199476.94</c:v>
                </c:pt>
                <c:pt idx="19">
                  <c:v>56141.039999999994</c:v>
                </c:pt>
                <c:pt idx="20">
                  <c:v>3969.2700000000004</c:v>
                </c:pt>
                <c:pt idx="21">
                  <c:v>44399.020000000004</c:v>
                </c:pt>
                <c:pt idx="22">
                  <c:v>131186.44</c:v>
                </c:pt>
                <c:pt idx="23">
                  <c:v>76609.06</c:v>
                </c:pt>
                <c:pt idx="24">
                  <c:v>22099.7</c:v>
                </c:pt>
                <c:pt idx="25">
                  <c:v>8308.92</c:v>
                </c:pt>
                <c:pt idx="26">
                  <c:v>263102.42</c:v>
                </c:pt>
                <c:pt idx="27">
                  <c:v>50554.46</c:v>
                </c:pt>
                <c:pt idx="28">
                  <c:v>4553.5600000000004</c:v>
                </c:pt>
                <c:pt idx="29">
                  <c:v>47990.710000000006</c:v>
                </c:pt>
                <c:pt idx="30">
                  <c:v>143199.6</c:v>
                </c:pt>
                <c:pt idx="31">
                  <c:v>78366.559999999998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E4-4E02-8B77-164960FA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388048"/>
        <c:axId val="1339382640"/>
      </c:lineChart>
      <c:catAx>
        <c:axId val="133938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82640"/>
        <c:crosses val="autoZero"/>
        <c:auto val="1"/>
        <c:lblAlgn val="ctr"/>
        <c:lblOffset val="100"/>
        <c:noMultiLvlLbl val="0"/>
      </c:catAx>
      <c:valAx>
        <c:axId val="13393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8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Dashboard.xlsx]Charts!PivotTable1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Quarter</a:t>
            </a:r>
            <a:endParaRPr lang="en-US" b="1"/>
          </a:p>
        </c:rich>
      </c:tx>
      <c:layout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Charts!$B$3:$B$4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Charts!$B$5:$B$9</c:f>
              <c:numCache>
                <c:formatCode>General</c:formatCode>
                <c:ptCount val="4"/>
                <c:pt idx="0">
                  <c:v>171984.49</c:v>
                </c:pt>
                <c:pt idx="1">
                  <c:v>191941.90999999997</c:v>
                </c:pt>
                <c:pt idx="2">
                  <c:v>197248.68000000002</c:v>
                </c:pt>
                <c:pt idx="3">
                  <c:v>203115.31000000003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8-4414-B274-E901AB80D4F6}"/>
            </c:ext>
          </c:extLst>
        </c:ser>
        <c:ser>
          <c:idx val="1"/>
          <c:order val="1"/>
          <c:tx>
            <c:strRef>
              <c:f>Charts!$C$3:$C$4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Charts!$C$5:$C$9</c:f>
              <c:numCache>
                <c:formatCode>General</c:formatCode>
                <c:ptCount val="4"/>
                <c:pt idx="0">
                  <c:v>178772.33999999997</c:v>
                </c:pt>
                <c:pt idx="1">
                  <c:v>196812.25</c:v>
                </c:pt>
                <c:pt idx="2">
                  <c:v>223007.53</c:v>
                </c:pt>
                <c:pt idx="3">
                  <c:v>232321.68999999997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8-4414-B274-E901AB80D4F6}"/>
            </c:ext>
          </c:extLst>
        </c:ser>
        <c:ser>
          <c:idx val="2"/>
          <c:order val="2"/>
          <c:tx>
            <c:strRef>
              <c:f>Charts!$D$3:$D$4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Charts!$D$5:$D$9</c:f>
              <c:numCache>
                <c:formatCode>General</c:formatCode>
                <c:ptCount val="4"/>
                <c:pt idx="0">
                  <c:v>167559.26</c:v>
                </c:pt>
                <c:pt idx="1">
                  <c:v>189970.68</c:v>
                </c:pt>
                <c:pt idx="2">
                  <c:v>171876.91</c:v>
                </c:pt>
                <c:pt idx="3">
                  <c:v>228193.73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8-4414-B274-E901AB80D4F6}"/>
            </c:ext>
          </c:extLst>
        </c:ser>
        <c:ser>
          <c:idx val="3"/>
          <c:order val="3"/>
          <c:tx>
            <c:strRef>
              <c:f>Charts!$E$3:$E$4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Charts!$A$5:$A$9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Charts!$E$5:$E$9</c:f>
              <c:numCache>
                <c:formatCode>General</c:formatCode>
                <c:ptCount val="4"/>
                <c:pt idx="0">
                  <c:v>168962.7</c:v>
                </c:pt>
                <c:pt idx="1">
                  <c:v>199409.58000000002</c:v>
                </c:pt>
                <c:pt idx="2">
                  <c:v>219902.77</c:v>
                </c:pt>
                <c:pt idx="3">
                  <c:v>269768.8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8-4414-B274-E901AB80D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116560"/>
        <c:axId val="1182120304"/>
      </c:lineChart>
      <c:catAx>
        <c:axId val="11821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20304"/>
        <c:crosses val="autoZero"/>
        <c:auto val="1"/>
        <c:lblAlgn val="ctr"/>
        <c:lblOffset val="100"/>
        <c:noMultiLvlLbl val="0"/>
      </c:catAx>
      <c:valAx>
        <c:axId val="118212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1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Dashboard.xlsx]Charts!PivotTable2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Profit By Quarter</a:t>
            </a:r>
            <a:endParaRPr lang="en-US" b="1"/>
          </a:p>
        </c:rich>
      </c:tx>
      <c:layout/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Charts!$B$29:$B$30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Charts!$B$31:$B$35</c:f>
              <c:numCache>
                <c:formatCode>General</c:formatCode>
                <c:ptCount val="4"/>
                <c:pt idx="0">
                  <c:v>46040.260000000009</c:v>
                </c:pt>
                <c:pt idx="1">
                  <c:v>58961.999999999993</c:v>
                </c:pt>
                <c:pt idx="2">
                  <c:v>58594.11</c:v>
                </c:pt>
                <c:pt idx="3">
                  <c:v>48374.020000000004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9-4644-91DE-FDB8C6BEBEF2}"/>
            </c:ext>
          </c:extLst>
        </c:ser>
        <c:ser>
          <c:idx val="1"/>
          <c:order val="1"/>
          <c:tx>
            <c:strRef>
              <c:f>Charts!$C$29:$C$30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Charts!$C$31:$C$35</c:f>
              <c:numCache>
                <c:formatCode>General</c:formatCode>
                <c:ptCount val="4"/>
                <c:pt idx="0">
                  <c:v>50009.100000000006</c:v>
                </c:pt>
                <c:pt idx="1">
                  <c:v>51658.60000000002</c:v>
                </c:pt>
                <c:pt idx="2">
                  <c:v>69564.590000000011</c:v>
                </c:pt>
                <c:pt idx="3">
                  <c:v>65562.599999999991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9-4644-91DE-FDB8C6BEBEF2}"/>
            </c:ext>
          </c:extLst>
        </c:ser>
        <c:ser>
          <c:idx val="2"/>
          <c:order val="2"/>
          <c:tx>
            <c:strRef>
              <c:f>Charts!$D$29:$D$30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Charts!$D$31:$D$35</c:f>
              <c:numCache>
                <c:formatCode>General</c:formatCode>
                <c:ptCount val="4"/>
                <c:pt idx="0">
                  <c:v>48014.48</c:v>
                </c:pt>
                <c:pt idx="1">
                  <c:v>47124.179999999986</c:v>
                </c:pt>
                <c:pt idx="2">
                  <c:v>56581.770000000004</c:v>
                </c:pt>
                <c:pt idx="3">
                  <c:v>65575.079999999987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9-4644-91DE-FDB8C6BEBEF2}"/>
            </c:ext>
          </c:extLst>
        </c:ser>
        <c:ser>
          <c:idx val="3"/>
          <c:order val="3"/>
          <c:tx>
            <c:strRef>
              <c:f>Charts!$E$29:$E$30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Charts!$A$31:$A$35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Charts!$E$31:$E$35</c:f>
              <c:numCache>
                <c:formatCode>General</c:formatCode>
                <c:ptCount val="4"/>
                <c:pt idx="0">
                  <c:v>50022.3</c:v>
                </c:pt>
                <c:pt idx="1">
                  <c:v>51869.85</c:v>
                </c:pt>
                <c:pt idx="2">
                  <c:v>67462.03</c:v>
                </c:pt>
                <c:pt idx="3">
                  <c:v>70513.739999999991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39-4644-91DE-FDB8C6BEB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064320"/>
        <c:axId val="1331061408"/>
      </c:barChart>
      <c:catAx>
        <c:axId val="133106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61408"/>
        <c:crosses val="autoZero"/>
        <c:auto val="1"/>
        <c:lblAlgn val="ctr"/>
        <c:lblOffset val="100"/>
        <c:noMultiLvlLbl val="0"/>
      </c:catAx>
      <c:valAx>
        <c:axId val="133106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6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Dashboard.xlsx]Charts!PivotTable3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Charts!$B$41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Charts!$A$42:$A$78</c:f>
              <c:multiLvlStrCache>
                <c:ptCount val="32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Printer</c:v>
                  </c:pt>
                  <c:pt idx="6">
                    <c:v>Smartphone</c:v>
                  </c:pt>
                  <c:pt idx="7">
                    <c:v>Tablet</c:v>
                  </c:pt>
                  <c:pt idx="8">
                    <c:v>Headphones</c:v>
                  </c:pt>
                  <c:pt idx="9">
                    <c:v>Keyboard</c:v>
                  </c:pt>
                  <c:pt idx="10">
                    <c:v>Laptop</c:v>
                  </c:pt>
                  <c:pt idx="11">
                    <c:v>Monitor</c:v>
                  </c:pt>
                  <c:pt idx="12">
                    <c:v>Mouse</c:v>
                  </c:pt>
                  <c:pt idx="13">
                    <c:v>Printer</c:v>
                  </c:pt>
                  <c:pt idx="14">
                    <c:v>Smartphone</c:v>
                  </c:pt>
                  <c:pt idx="15">
                    <c:v>Tablet</c:v>
                  </c:pt>
                  <c:pt idx="16">
                    <c:v>Headphones</c:v>
                  </c:pt>
                  <c:pt idx="17">
                    <c:v>Keyboard</c:v>
                  </c:pt>
                  <c:pt idx="18">
                    <c:v>Laptop</c:v>
                  </c:pt>
                  <c:pt idx="19">
                    <c:v>Monitor</c:v>
                  </c:pt>
                  <c:pt idx="20">
                    <c:v>Mouse</c:v>
                  </c:pt>
                  <c:pt idx="21">
                    <c:v>Printer</c:v>
                  </c:pt>
                  <c:pt idx="22">
                    <c:v>Smartphone</c:v>
                  </c:pt>
                  <c:pt idx="23">
                    <c:v>Tablet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Printer</c:v>
                  </c:pt>
                  <c:pt idx="30">
                    <c:v>Smartphone</c:v>
                  </c:pt>
                  <c:pt idx="31">
                    <c:v>Tablet</c:v>
                  </c:pt>
                </c:lvl>
                <c:lvl>
                  <c:pt idx="0">
                    <c:v>East</c:v>
                  </c:pt>
                  <c:pt idx="8">
                    <c:v>North</c:v>
                  </c:pt>
                  <c:pt idx="16">
                    <c:v>South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Charts!$B$42:$B$78</c:f>
              <c:numCache>
                <c:formatCode>General</c:formatCode>
                <c:ptCount val="32"/>
                <c:pt idx="0">
                  <c:v>29594.129999999997</c:v>
                </c:pt>
                <c:pt idx="1">
                  <c:v>10050.380000000001</c:v>
                </c:pt>
                <c:pt idx="2">
                  <c:v>319003.11000000004</c:v>
                </c:pt>
                <c:pt idx="3">
                  <c:v>77565.13</c:v>
                </c:pt>
                <c:pt idx="4">
                  <c:v>5136.91</c:v>
                </c:pt>
                <c:pt idx="5">
                  <c:v>59117.99</c:v>
                </c:pt>
                <c:pt idx="6">
                  <c:v>166479.99</c:v>
                </c:pt>
                <c:pt idx="7">
                  <c:v>97342.75</c:v>
                </c:pt>
                <c:pt idx="8">
                  <c:v>27154.47</c:v>
                </c:pt>
                <c:pt idx="9">
                  <c:v>10274.17</c:v>
                </c:pt>
                <c:pt idx="10">
                  <c:v>314861.12000000005</c:v>
                </c:pt>
                <c:pt idx="11">
                  <c:v>74243.61</c:v>
                </c:pt>
                <c:pt idx="12">
                  <c:v>5260.48</c:v>
                </c:pt>
                <c:pt idx="13">
                  <c:v>68515.92</c:v>
                </c:pt>
                <c:pt idx="14">
                  <c:v>214069.37</c:v>
                </c:pt>
                <c:pt idx="15">
                  <c:v>116534.66999999998</c:v>
                </c:pt>
                <c:pt idx="16">
                  <c:v>26650.14</c:v>
                </c:pt>
                <c:pt idx="17">
                  <c:v>11272.470000000001</c:v>
                </c:pt>
                <c:pt idx="18">
                  <c:v>290345.28000000003</c:v>
                </c:pt>
                <c:pt idx="19">
                  <c:v>76168.09</c:v>
                </c:pt>
                <c:pt idx="20">
                  <c:v>5729.7599999999993</c:v>
                </c:pt>
                <c:pt idx="21">
                  <c:v>57163.659999999996</c:v>
                </c:pt>
                <c:pt idx="22">
                  <c:v>184026.36999999997</c:v>
                </c:pt>
                <c:pt idx="23">
                  <c:v>106244.81</c:v>
                </c:pt>
                <c:pt idx="24">
                  <c:v>29369.82</c:v>
                </c:pt>
                <c:pt idx="25">
                  <c:v>11685.990000000002</c:v>
                </c:pt>
                <c:pt idx="26">
                  <c:v>351785.95999999996</c:v>
                </c:pt>
                <c:pt idx="27">
                  <c:v>77361.239999999991</c:v>
                </c:pt>
                <c:pt idx="28">
                  <c:v>5866.1100000000006</c:v>
                </c:pt>
                <c:pt idx="29">
                  <c:v>62552.46</c:v>
                </c:pt>
                <c:pt idx="30">
                  <c:v>210815.49</c:v>
                </c:pt>
                <c:pt idx="31">
                  <c:v>108606.78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5-4B94-9630-6ED2D680C6BE}"/>
            </c:ext>
          </c:extLst>
        </c:ser>
        <c:ser>
          <c:idx val="1"/>
          <c:order val="1"/>
          <c:tx>
            <c:strRef>
              <c:f>Charts!$C$41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Charts!$A$42:$A$78</c:f>
              <c:multiLvlStrCache>
                <c:ptCount val="32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Printer</c:v>
                  </c:pt>
                  <c:pt idx="6">
                    <c:v>Smartphone</c:v>
                  </c:pt>
                  <c:pt idx="7">
                    <c:v>Tablet</c:v>
                  </c:pt>
                  <c:pt idx="8">
                    <c:v>Headphones</c:v>
                  </c:pt>
                  <c:pt idx="9">
                    <c:v>Keyboard</c:v>
                  </c:pt>
                  <c:pt idx="10">
                    <c:v>Laptop</c:v>
                  </c:pt>
                  <c:pt idx="11">
                    <c:v>Monitor</c:v>
                  </c:pt>
                  <c:pt idx="12">
                    <c:v>Mouse</c:v>
                  </c:pt>
                  <c:pt idx="13">
                    <c:v>Printer</c:v>
                  </c:pt>
                  <c:pt idx="14">
                    <c:v>Smartphone</c:v>
                  </c:pt>
                  <c:pt idx="15">
                    <c:v>Tablet</c:v>
                  </c:pt>
                  <c:pt idx="16">
                    <c:v>Headphones</c:v>
                  </c:pt>
                  <c:pt idx="17">
                    <c:v>Keyboard</c:v>
                  </c:pt>
                  <c:pt idx="18">
                    <c:v>Laptop</c:v>
                  </c:pt>
                  <c:pt idx="19">
                    <c:v>Monitor</c:v>
                  </c:pt>
                  <c:pt idx="20">
                    <c:v>Mouse</c:v>
                  </c:pt>
                  <c:pt idx="21">
                    <c:v>Printer</c:v>
                  </c:pt>
                  <c:pt idx="22">
                    <c:v>Smartphone</c:v>
                  </c:pt>
                  <c:pt idx="23">
                    <c:v>Tablet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Printer</c:v>
                  </c:pt>
                  <c:pt idx="30">
                    <c:v>Smartphone</c:v>
                  </c:pt>
                  <c:pt idx="31">
                    <c:v>Tablet</c:v>
                  </c:pt>
                </c:lvl>
                <c:lvl>
                  <c:pt idx="0">
                    <c:v>East</c:v>
                  </c:pt>
                  <c:pt idx="8">
                    <c:v>North</c:v>
                  </c:pt>
                  <c:pt idx="16">
                    <c:v>South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Charts!$C$42:$C$78</c:f>
              <c:numCache>
                <c:formatCode>General</c:formatCode>
                <c:ptCount val="32"/>
                <c:pt idx="0">
                  <c:v>7551.3399999999992</c:v>
                </c:pt>
                <c:pt idx="1">
                  <c:v>2648.2400000000002</c:v>
                </c:pt>
                <c:pt idx="2">
                  <c:v>103291.56</c:v>
                </c:pt>
                <c:pt idx="3">
                  <c:v>23418.069999999996</c:v>
                </c:pt>
                <c:pt idx="4">
                  <c:v>1256.7199999999998</c:v>
                </c:pt>
                <c:pt idx="5">
                  <c:v>14693.330000000002</c:v>
                </c:pt>
                <c:pt idx="6">
                  <c:v>36893.33</c:v>
                </c:pt>
                <c:pt idx="7">
                  <c:v>22217.800000000003</c:v>
                </c:pt>
                <c:pt idx="8">
                  <c:v>5231.7299999999987</c:v>
                </c:pt>
                <c:pt idx="9">
                  <c:v>2710.1899999999996</c:v>
                </c:pt>
                <c:pt idx="10">
                  <c:v>83098.530000000028</c:v>
                </c:pt>
                <c:pt idx="11">
                  <c:v>21269.89</c:v>
                </c:pt>
                <c:pt idx="12">
                  <c:v>1458.7</c:v>
                </c:pt>
                <c:pt idx="13">
                  <c:v>22954.2</c:v>
                </c:pt>
                <c:pt idx="14">
                  <c:v>64971.74</c:v>
                </c:pt>
                <c:pt idx="15">
                  <c:v>35099.909999999996</c:v>
                </c:pt>
                <c:pt idx="16">
                  <c:v>6439.3399999999983</c:v>
                </c:pt>
                <c:pt idx="17">
                  <c:v>2959.9700000000003</c:v>
                </c:pt>
                <c:pt idx="18">
                  <c:v>90868.34</c:v>
                </c:pt>
                <c:pt idx="19">
                  <c:v>20027.050000000003</c:v>
                </c:pt>
                <c:pt idx="20">
                  <c:v>1760.4900000000002</c:v>
                </c:pt>
                <c:pt idx="21">
                  <c:v>12764.639999999998</c:v>
                </c:pt>
                <c:pt idx="22">
                  <c:v>52839.929999999993</c:v>
                </c:pt>
                <c:pt idx="23">
                  <c:v>29635.750000000007</c:v>
                </c:pt>
                <c:pt idx="24">
                  <c:v>7270.12</c:v>
                </c:pt>
                <c:pt idx="25">
                  <c:v>3377.07</c:v>
                </c:pt>
                <c:pt idx="26">
                  <c:v>88683.54</c:v>
                </c:pt>
                <c:pt idx="27">
                  <c:v>26806.78</c:v>
                </c:pt>
                <c:pt idx="28">
                  <c:v>1312.5500000000002</c:v>
                </c:pt>
                <c:pt idx="29">
                  <c:v>14561.75</c:v>
                </c:pt>
                <c:pt idx="30">
                  <c:v>67615.890000000014</c:v>
                </c:pt>
                <c:pt idx="31">
                  <c:v>30240.219999999998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5-4B94-9630-6ED2D680C6BE}"/>
            </c:ext>
          </c:extLst>
        </c:ser>
        <c:ser>
          <c:idx val="2"/>
          <c:order val="2"/>
          <c:tx>
            <c:strRef>
              <c:f>Charts!$D$41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Charts!$A$42:$A$78</c:f>
              <c:multiLvlStrCache>
                <c:ptCount val="32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Printer</c:v>
                  </c:pt>
                  <c:pt idx="6">
                    <c:v>Smartphone</c:v>
                  </c:pt>
                  <c:pt idx="7">
                    <c:v>Tablet</c:v>
                  </c:pt>
                  <c:pt idx="8">
                    <c:v>Headphones</c:v>
                  </c:pt>
                  <c:pt idx="9">
                    <c:v>Keyboard</c:v>
                  </c:pt>
                  <c:pt idx="10">
                    <c:v>Laptop</c:v>
                  </c:pt>
                  <c:pt idx="11">
                    <c:v>Monitor</c:v>
                  </c:pt>
                  <c:pt idx="12">
                    <c:v>Mouse</c:v>
                  </c:pt>
                  <c:pt idx="13">
                    <c:v>Printer</c:v>
                  </c:pt>
                  <c:pt idx="14">
                    <c:v>Smartphone</c:v>
                  </c:pt>
                  <c:pt idx="15">
                    <c:v>Tablet</c:v>
                  </c:pt>
                  <c:pt idx="16">
                    <c:v>Headphones</c:v>
                  </c:pt>
                  <c:pt idx="17">
                    <c:v>Keyboard</c:v>
                  </c:pt>
                  <c:pt idx="18">
                    <c:v>Laptop</c:v>
                  </c:pt>
                  <c:pt idx="19">
                    <c:v>Monitor</c:v>
                  </c:pt>
                  <c:pt idx="20">
                    <c:v>Mouse</c:v>
                  </c:pt>
                  <c:pt idx="21">
                    <c:v>Printer</c:v>
                  </c:pt>
                  <c:pt idx="22">
                    <c:v>Smartphone</c:v>
                  </c:pt>
                  <c:pt idx="23">
                    <c:v>Tablet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Printer</c:v>
                  </c:pt>
                  <c:pt idx="30">
                    <c:v>Smartphone</c:v>
                  </c:pt>
                  <c:pt idx="31">
                    <c:v>Tablet</c:v>
                  </c:pt>
                </c:lvl>
                <c:lvl>
                  <c:pt idx="0">
                    <c:v>East</c:v>
                  </c:pt>
                  <c:pt idx="8">
                    <c:v>North</c:v>
                  </c:pt>
                  <c:pt idx="16">
                    <c:v>South</c:v>
                  </c:pt>
                  <c:pt idx="24">
                    <c:v>West</c:v>
                  </c:pt>
                </c:lvl>
              </c:multiLvlStrCache>
            </c:multiLvlStrRef>
          </c:cat>
          <c:val>
            <c:numRef>
              <c:f>Charts!$D$42:$D$78</c:f>
              <c:numCache>
                <c:formatCode>General</c:formatCode>
                <c:ptCount val="32"/>
                <c:pt idx="0">
                  <c:v>22042.79</c:v>
                </c:pt>
                <c:pt idx="1">
                  <c:v>7402.14</c:v>
                </c:pt>
                <c:pt idx="2">
                  <c:v>215711.55</c:v>
                </c:pt>
                <c:pt idx="3">
                  <c:v>54147.060000000005</c:v>
                </c:pt>
                <c:pt idx="4">
                  <c:v>3880.1900000000005</c:v>
                </c:pt>
                <c:pt idx="5">
                  <c:v>44424.659999999996</c:v>
                </c:pt>
                <c:pt idx="6">
                  <c:v>129586.66</c:v>
                </c:pt>
                <c:pt idx="7">
                  <c:v>75124.950000000012</c:v>
                </c:pt>
                <c:pt idx="8">
                  <c:v>21922.739999999998</c:v>
                </c:pt>
                <c:pt idx="9">
                  <c:v>7563.98</c:v>
                </c:pt>
                <c:pt idx="10">
                  <c:v>231762.58999999997</c:v>
                </c:pt>
                <c:pt idx="11">
                  <c:v>52973.72</c:v>
                </c:pt>
                <c:pt idx="12">
                  <c:v>3801.7799999999997</c:v>
                </c:pt>
                <c:pt idx="13">
                  <c:v>45561.72</c:v>
                </c:pt>
                <c:pt idx="14">
                  <c:v>149097.63</c:v>
                </c:pt>
                <c:pt idx="15">
                  <c:v>81434.759999999995</c:v>
                </c:pt>
                <c:pt idx="16">
                  <c:v>20210.800000000003</c:v>
                </c:pt>
                <c:pt idx="17">
                  <c:v>8312.5</c:v>
                </c:pt>
                <c:pt idx="18">
                  <c:v>199476.94</c:v>
                </c:pt>
                <c:pt idx="19">
                  <c:v>56141.039999999994</c:v>
                </c:pt>
                <c:pt idx="20">
                  <c:v>3969.2700000000004</c:v>
                </c:pt>
                <c:pt idx="21">
                  <c:v>44399.020000000004</c:v>
                </c:pt>
                <c:pt idx="22">
                  <c:v>131186.44</c:v>
                </c:pt>
                <c:pt idx="23">
                  <c:v>76609.06</c:v>
                </c:pt>
                <c:pt idx="24">
                  <c:v>22099.7</c:v>
                </c:pt>
                <c:pt idx="25">
                  <c:v>8308.92</c:v>
                </c:pt>
                <c:pt idx="26">
                  <c:v>263102.42</c:v>
                </c:pt>
                <c:pt idx="27">
                  <c:v>50554.46</c:v>
                </c:pt>
                <c:pt idx="28">
                  <c:v>4553.5600000000004</c:v>
                </c:pt>
                <c:pt idx="29">
                  <c:v>47990.710000000006</c:v>
                </c:pt>
                <c:pt idx="30">
                  <c:v>143199.6</c:v>
                </c:pt>
                <c:pt idx="31">
                  <c:v>78366.559999999998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5-4B94-9630-6ED2D680C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388048"/>
        <c:axId val="1339382640"/>
      </c:lineChart>
      <c:catAx>
        <c:axId val="133938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82640"/>
        <c:crosses val="autoZero"/>
        <c:auto val="1"/>
        <c:lblAlgn val="ctr"/>
        <c:lblOffset val="100"/>
        <c:noMultiLvlLbl val="0"/>
      </c:catAx>
      <c:valAx>
        <c:axId val="13393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38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Sales Trend by Region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2.2048611111111113E-2"/>
          <c:y val="4.8506944444444443E-2"/>
          <c:w val="0.95149305555555552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'Sales Data'!$N$1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Data'!$N$2:$N$5</c:f>
              <c:numCache>
                <c:formatCode>General</c:formatCode>
                <c:ptCount val="4"/>
                <c:pt idx="0">
                  <c:v>178772.33999999997</c:v>
                </c:pt>
                <c:pt idx="1">
                  <c:v>196812.25</c:v>
                </c:pt>
                <c:pt idx="2">
                  <c:v>223007.53</c:v>
                </c:pt>
                <c:pt idx="3">
                  <c:v>232321.68999999997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D2E-B1CD-1D61ADFBADBE}"/>
            </c:ext>
          </c:extLst>
        </c:ser>
        <c:ser>
          <c:idx val="1"/>
          <c:order val="1"/>
          <c:tx>
            <c:strRef>
              <c:f>'Sales Data'!$O$1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Data'!$O$2:$O$5</c:f>
              <c:numCache>
                <c:formatCode>General</c:formatCode>
                <c:ptCount val="4"/>
                <c:pt idx="0">
                  <c:v>167559.26</c:v>
                </c:pt>
                <c:pt idx="1">
                  <c:v>189970.68</c:v>
                </c:pt>
                <c:pt idx="2">
                  <c:v>171876.91</c:v>
                </c:pt>
                <c:pt idx="3">
                  <c:v>228193.73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47-4D2E-B1CD-1D61ADFBADBE}"/>
            </c:ext>
          </c:extLst>
        </c:ser>
        <c:ser>
          <c:idx val="2"/>
          <c:order val="2"/>
          <c:tx>
            <c:strRef>
              <c:f>'Sales Data'!$P$1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Data'!$P$2:$P$5</c:f>
              <c:numCache>
                <c:formatCode>General</c:formatCode>
                <c:ptCount val="4"/>
                <c:pt idx="0">
                  <c:v>171984.49</c:v>
                </c:pt>
                <c:pt idx="1">
                  <c:v>191941.90999999997</c:v>
                </c:pt>
                <c:pt idx="2">
                  <c:v>197248.68000000002</c:v>
                </c:pt>
                <c:pt idx="3">
                  <c:v>203115.31000000003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47-4D2E-B1CD-1D61ADFBADBE}"/>
            </c:ext>
          </c:extLst>
        </c:ser>
        <c:ser>
          <c:idx val="3"/>
          <c:order val="3"/>
          <c:tx>
            <c:strRef>
              <c:f>'Sales Data'!$Q$1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Data'!$M$2:$M$5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Data'!$Q$2:$Q$5</c:f>
              <c:numCache>
                <c:formatCode>General</c:formatCode>
                <c:ptCount val="4"/>
                <c:pt idx="0">
                  <c:v>168962.7</c:v>
                </c:pt>
                <c:pt idx="1">
                  <c:v>199409.58000000002</c:v>
                </c:pt>
                <c:pt idx="2">
                  <c:v>219902.77</c:v>
                </c:pt>
                <c:pt idx="3">
                  <c:v>269768.8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B47-4D2E-B1CD-1D61ADFB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(₹)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Profit Trend by Region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'Sales Data'!$N$24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Data'!$N$25:$N$28</c:f>
              <c:numCache>
                <c:formatCode>General</c:formatCode>
                <c:ptCount val="4"/>
                <c:pt idx="0">
                  <c:v>50009.100000000006</c:v>
                </c:pt>
                <c:pt idx="1">
                  <c:v>51658.60000000002</c:v>
                </c:pt>
                <c:pt idx="2">
                  <c:v>69564.590000000011</c:v>
                </c:pt>
                <c:pt idx="3">
                  <c:v>65562.599999999991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02-4A27-B710-DCB1A5D6B6DF}"/>
            </c:ext>
          </c:extLst>
        </c:ser>
        <c:ser>
          <c:idx val="1"/>
          <c:order val="1"/>
          <c:tx>
            <c:strRef>
              <c:f>'Sales Data'!$O$24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Data'!$O$25:$O$28</c:f>
              <c:numCache>
                <c:formatCode>General</c:formatCode>
                <c:ptCount val="4"/>
                <c:pt idx="0">
                  <c:v>48014.48</c:v>
                </c:pt>
                <c:pt idx="1">
                  <c:v>47124.179999999986</c:v>
                </c:pt>
                <c:pt idx="2">
                  <c:v>56581.770000000004</c:v>
                </c:pt>
                <c:pt idx="3">
                  <c:v>65575.079999999987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02-4A27-B710-DCB1A5D6B6DF}"/>
            </c:ext>
          </c:extLst>
        </c:ser>
        <c:ser>
          <c:idx val="2"/>
          <c:order val="2"/>
          <c:tx>
            <c:strRef>
              <c:f>'Sales Data'!$P$24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Data'!$P$25:$P$28</c:f>
              <c:numCache>
                <c:formatCode>General</c:formatCode>
                <c:ptCount val="4"/>
                <c:pt idx="0">
                  <c:v>46040.260000000009</c:v>
                </c:pt>
                <c:pt idx="1">
                  <c:v>58961.999999999993</c:v>
                </c:pt>
                <c:pt idx="2">
                  <c:v>58594.11</c:v>
                </c:pt>
                <c:pt idx="3">
                  <c:v>48374.020000000004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902-4A27-B710-DCB1A5D6B6DF}"/>
            </c:ext>
          </c:extLst>
        </c:ser>
        <c:ser>
          <c:idx val="3"/>
          <c:order val="3"/>
          <c:tx>
            <c:strRef>
              <c:f>'Sales Data'!$Q$24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Data'!$M$25:$M$28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Data'!$Q$25:$Q$28</c:f>
              <c:numCache>
                <c:formatCode>General</c:formatCode>
                <c:ptCount val="4"/>
                <c:pt idx="0">
                  <c:v>50022.3</c:v>
                </c:pt>
                <c:pt idx="1">
                  <c:v>51869.85</c:v>
                </c:pt>
                <c:pt idx="2">
                  <c:v>67462.03</c:v>
                </c:pt>
                <c:pt idx="3">
                  <c:v>70513.739999999991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902-4A27-B710-DCB1A5D6B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6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23</xdr:row>
      <xdr:rowOff>0</xdr:rowOff>
    </xdr:from>
    <xdr:ext cx="576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9</xdr:row>
      <xdr:rowOff>155575</xdr:rowOff>
    </xdr:from>
    <xdr:to>
      <xdr:col>6</xdr:col>
      <xdr:colOff>3175</xdr:colOff>
      <xdr:row>24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168275</xdr:colOff>
      <xdr:row>22</xdr:row>
      <xdr:rowOff>60325</xdr:rowOff>
    </xdr:from>
    <xdr:to>
      <xdr:col>13</xdr:col>
      <xdr:colOff>473075</xdr:colOff>
      <xdr:row>37</xdr:row>
      <xdr:rowOff>41275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80</xdr:row>
      <xdr:rowOff>0</xdr:rowOff>
    </xdr:from>
    <xdr:ext cx="5760000" cy="2880000"/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99</xdr:row>
      <xdr:rowOff>0</xdr:rowOff>
    </xdr:from>
    <xdr:ext cx="5760000" cy="2880000"/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4</xdr:col>
      <xdr:colOff>441325</xdr:colOff>
      <xdr:row>38</xdr:row>
      <xdr:rowOff>85725</xdr:rowOff>
    </xdr:from>
    <xdr:to>
      <xdr:col>11</xdr:col>
      <xdr:colOff>530225</xdr:colOff>
      <xdr:row>53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3</xdr:row>
      <xdr:rowOff>120650</xdr:rowOff>
    </xdr:from>
    <xdr:to>
      <xdr:col>9</xdr:col>
      <xdr:colOff>361950</xdr:colOff>
      <xdr:row>18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127000</xdr:colOff>
      <xdr:row>3</xdr:row>
      <xdr:rowOff>133350</xdr:rowOff>
    </xdr:from>
    <xdr:to>
      <xdr:col>18</xdr:col>
      <xdr:colOff>590550</xdr:colOff>
      <xdr:row>18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19</xdr:row>
      <xdr:rowOff>177800</xdr:rowOff>
    </xdr:from>
    <xdr:to>
      <xdr:col>18</xdr:col>
      <xdr:colOff>603250</xdr:colOff>
      <xdr:row>37</xdr:row>
      <xdr:rowOff>177800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82550</xdr:colOff>
      <xdr:row>40</xdr:row>
      <xdr:rowOff>12700</xdr:rowOff>
    </xdr:from>
    <xdr:ext cx="5760000" cy="2880000"/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469900</xdr:colOff>
      <xdr:row>40</xdr:row>
      <xdr:rowOff>31750</xdr:rowOff>
    </xdr:from>
    <xdr:ext cx="5708650" cy="2870200"/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10.796042824077" createdVersion="6" refreshedVersion="6" minRefreshableVersion="3" recordCount="16">
  <cacheSource type="worksheet">
    <worksheetSource ref="H10:K26" sheet="Sales Data"/>
  </cacheSource>
  <cacheFields count="4">
    <cacheField name="Quarter" numFmtId="0">
      <sharedItems count="4">
        <s v="Q1"/>
        <s v="Q2"/>
        <s v="Q3"/>
        <s v="Q4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165">
      <sharedItems containsSemiMixedTypes="0" containsString="0" containsNumber="1" minValue="167559.26" maxValue="269768.8"/>
    </cacheField>
    <cacheField name="Profit" numFmtId="165">
      <sharedItems containsSemiMixedTypes="0" containsString="0" containsNumber="1" minValue="46040.260000000009" maxValue="70513.7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310.803840624998" createdVersion="6" refreshedVersion="6" minRefreshableVersion="3" recordCount="128">
  <cacheSource type="worksheet">
    <worksheetSource name="salestable"/>
  </cacheSource>
  <cacheFields count="6">
    <cacheField name="Product" numFmtId="0">
      <sharedItems count="8">
        <s v="Laptop"/>
        <s v="Smartphone"/>
        <s v="Headphones"/>
        <s v="Monitor"/>
        <s v="Keyboard"/>
        <s v="Mouse"/>
        <s v="Tablet"/>
        <s v="Printer"/>
      </sharedItems>
    </cacheField>
    <cacheField name="Sales" numFmtId="164">
      <sharedItems containsSemiMixedTypes="0" containsString="0" containsNumber="1" minValue="863.13" maxValue="116831"/>
    </cacheField>
    <cacheField name="Expenses" numFmtId="164">
      <sharedItems containsSemiMixedTypes="0" containsString="0" containsNumber="1" minValue="600.16999999999996" maxValue="97162.74"/>
    </cacheField>
    <cacheField name="Profit" numFmtId="164">
      <sharedItems containsSemiMixedTypes="0" containsString="0" containsNumber="1" minValue="207.71000000000004" maxValue="32531.64"/>
    </cacheField>
    <cacheField name="Region" numFmtId="0">
      <sharedItems count="4">
        <s v="North"/>
        <s v="South"/>
        <s v="East"/>
        <s v="West"/>
      </sharedItems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78772.33999999997"/>
    <n v="50009.100000000006"/>
  </r>
  <r>
    <x v="0"/>
    <x v="1"/>
    <n v="167559.26"/>
    <n v="48014.48"/>
  </r>
  <r>
    <x v="0"/>
    <x v="2"/>
    <n v="171984.49"/>
    <n v="46040.260000000009"/>
  </r>
  <r>
    <x v="0"/>
    <x v="3"/>
    <n v="168962.7"/>
    <n v="50022.3"/>
  </r>
  <r>
    <x v="1"/>
    <x v="0"/>
    <n v="196812.25"/>
    <n v="51658.60000000002"/>
  </r>
  <r>
    <x v="1"/>
    <x v="1"/>
    <n v="189970.68"/>
    <n v="47124.179999999986"/>
  </r>
  <r>
    <x v="1"/>
    <x v="2"/>
    <n v="191941.90999999997"/>
    <n v="58961.999999999993"/>
  </r>
  <r>
    <x v="1"/>
    <x v="3"/>
    <n v="199409.58000000002"/>
    <n v="51869.85"/>
  </r>
  <r>
    <x v="2"/>
    <x v="0"/>
    <n v="223007.53"/>
    <n v="69564.590000000011"/>
  </r>
  <r>
    <x v="2"/>
    <x v="1"/>
    <n v="171876.91"/>
    <n v="56581.770000000004"/>
  </r>
  <r>
    <x v="2"/>
    <x v="2"/>
    <n v="197248.68000000002"/>
    <n v="58594.11"/>
  </r>
  <r>
    <x v="2"/>
    <x v="3"/>
    <n v="219902.77"/>
    <n v="67462.03"/>
  </r>
  <r>
    <x v="3"/>
    <x v="0"/>
    <n v="232321.68999999997"/>
    <n v="65562.599999999991"/>
  </r>
  <r>
    <x v="3"/>
    <x v="1"/>
    <n v="228193.73"/>
    <n v="65575.079999999987"/>
  </r>
  <r>
    <x v="3"/>
    <x v="2"/>
    <n v="203115.31000000003"/>
    <n v="48374.020000000004"/>
  </r>
  <r>
    <x v="3"/>
    <x v="3"/>
    <n v="269768.8"/>
    <n v="70513.7399999999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8">
  <r>
    <x v="0"/>
    <n v="62743.44"/>
    <n v="48227.519999999997"/>
    <n v="14515.920000000006"/>
    <x v="0"/>
    <x v="0"/>
  </r>
  <r>
    <x v="1"/>
    <n v="44174.02"/>
    <n v="31813.82"/>
    <n v="12360.199999999997"/>
    <x v="0"/>
    <x v="0"/>
  </r>
  <r>
    <x v="2"/>
    <n v="5403.29"/>
    <n v="4281.0600000000004"/>
    <n v="1122.2299999999996"/>
    <x v="0"/>
    <x v="0"/>
  </r>
  <r>
    <x v="3"/>
    <n v="20569.05"/>
    <n v="14971.49"/>
    <n v="5597.5599999999995"/>
    <x v="0"/>
    <x v="0"/>
  </r>
  <r>
    <x v="4"/>
    <n v="2458.4899999999998"/>
    <n v="1633.16"/>
    <n v="825.3299999999997"/>
    <x v="0"/>
    <x v="0"/>
  </r>
  <r>
    <x v="5"/>
    <n v="863.13"/>
    <n v="600.16999999999996"/>
    <n v="262.96000000000004"/>
    <x v="0"/>
    <x v="0"/>
  </r>
  <r>
    <x v="6"/>
    <n v="26666.67"/>
    <n v="16691.490000000002"/>
    <n v="9975.1799999999967"/>
    <x v="0"/>
    <x v="0"/>
  </r>
  <r>
    <x v="7"/>
    <n v="15894.25"/>
    <n v="10544.53"/>
    <n v="5349.7199999999993"/>
    <x v="0"/>
    <x v="0"/>
  </r>
  <r>
    <x v="0"/>
    <n v="63004"/>
    <n v="39045.919999999998"/>
    <n v="23958.080000000002"/>
    <x v="1"/>
    <x v="0"/>
  </r>
  <r>
    <x v="1"/>
    <n v="50180.17"/>
    <n v="39135.42"/>
    <n v="11044.75"/>
    <x v="1"/>
    <x v="0"/>
  </r>
  <r>
    <x v="2"/>
    <n v="7363"/>
    <n v="5534.43"/>
    <n v="1828.5699999999997"/>
    <x v="1"/>
    <x v="0"/>
  </r>
  <r>
    <x v="3"/>
    <n v="12730.31"/>
    <n v="8728.58"/>
    <n v="4001.7299999999996"/>
    <x v="1"/>
    <x v="0"/>
  </r>
  <r>
    <x v="4"/>
    <n v="2354.4"/>
    <n v="1498.9"/>
    <n v="855.5"/>
    <x v="1"/>
    <x v="0"/>
  </r>
  <r>
    <x v="5"/>
    <n v="1406.03"/>
    <n v="976.83"/>
    <n v="429.19999999999993"/>
    <x v="1"/>
    <x v="0"/>
  </r>
  <r>
    <x v="6"/>
    <n v="19976.72"/>
    <n v="15941.97"/>
    <n v="4034.7500000000018"/>
    <x v="1"/>
    <x v="0"/>
  </r>
  <r>
    <x v="7"/>
    <n v="10544.63"/>
    <n v="8682.73"/>
    <n v="1861.8999999999996"/>
    <x v="1"/>
    <x v="0"/>
  </r>
  <r>
    <x v="0"/>
    <n v="68835.88"/>
    <n v="50729.34"/>
    <n v="18106.540000000008"/>
    <x v="2"/>
    <x v="0"/>
  </r>
  <r>
    <x v="1"/>
    <n v="34817.06"/>
    <n v="25119.88"/>
    <n v="9697.1799999999967"/>
    <x v="2"/>
    <x v="0"/>
  </r>
  <r>
    <x v="2"/>
    <n v="4895.75"/>
    <n v="3028.23"/>
    <n v="1867.52"/>
    <x v="2"/>
    <x v="0"/>
  </r>
  <r>
    <x v="3"/>
    <n v="19494.23"/>
    <n v="12944.54"/>
    <n v="6549.6899999999987"/>
    <x v="2"/>
    <x v="0"/>
  </r>
  <r>
    <x v="4"/>
    <n v="2603.5500000000002"/>
    <n v="1713.06"/>
    <n v="890.49000000000024"/>
    <x v="2"/>
    <x v="0"/>
  </r>
  <r>
    <x v="5"/>
    <n v="1359.59"/>
    <n v="1108.9000000000001"/>
    <n v="250.68999999999983"/>
    <x v="2"/>
    <x v="0"/>
  </r>
  <r>
    <x v="6"/>
    <n v="26755.25"/>
    <n v="21014.71"/>
    <n v="5740.5400000000009"/>
    <x v="2"/>
    <x v="0"/>
  </r>
  <r>
    <x v="7"/>
    <n v="13223.18"/>
    <n v="10285.57"/>
    <n v="2937.6100000000006"/>
    <x v="2"/>
    <x v="0"/>
  </r>
  <r>
    <x v="0"/>
    <n v="59827.040000000001"/>
    <n v="43048.84"/>
    <n v="16778.200000000004"/>
    <x v="3"/>
    <x v="0"/>
  </r>
  <r>
    <x v="1"/>
    <n v="47486.9"/>
    <n v="31163.200000000001"/>
    <n v="16323.7"/>
    <x v="3"/>
    <x v="0"/>
  </r>
  <r>
    <x v="2"/>
    <n v="7671.72"/>
    <n v="6245.84"/>
    <n v="1425.88"/>
    <x v="3"/>
    <x v="0"/>
  </r>
  <r>
    <x v="3"/>
    <n v="16473.669999999998"/>
    <n v="11432.74"/>
    <n v="5040.9299999999985"/>
    <x v="3"/>
    <x v="0"/>
  </r>
  <r>
    <x v="4"/>
    <n v="2341.84"/>
    <n v="1636.31"/>
    <n v="705.5300000000002"/>
    <x v="3"/>
    <x v="0"/>
  </r>
  <r>
    <x v="5"/>
    <n v="1460.71"/>
    <n v="1020.91"/>
    <n v="439.80000000000007"/>
    <x v="3"/>
    <x v="0"/>
  </r>
  <r>
    <x v="6"/>
    <n v="18658.91"/>
    <n v="11782.18"/>
    <n v="6876.73"/>
    <x v="3"/>
    <x v="0"/>
  </r>
  <r>
    <x v="7"/>
    <n v="15041.91"/>
    <n v="12610.38"/>
    <n v="2431.5300000000007"/>
    <x v="3"/>
    <x v="0"/>
  </r>
  <r>
    <x v="0"/>
    <n v="82970.02"/>
    <n v="59991.81"/>
    <n v="22978.210000000006"/>
    <x v="0"/>
    <x v="1"/>
  </r>
  <r>
    <x v="1"/>
    <n v="45983.55"/>
    <n v="35962.839999999997"/>
    <n v="10020.710000000006"/>
    <x v="0"/>
    <x v="1"/>
  </r>
  <r>
    <x v="2"/>
    <n v="5895.52"/>
    <n v="4421.92"/>
    <n v="1473.6000000000004"/>
    <x v="0"/>
    <x v="1"/>
  </r>
  <r>
    <x v="3"/>
    <n v="19769.59"/>
    <n v="14890.52"/>
    <n v="4879.07"/>
    <x v="0"/>
    <x v="1"/>
  </r>
  <r>
    <x v="4"/>
    <n v="2208.37"/>
    <n v="1433.5"/>
    <n v="774.86999999999989"/>
    <x v="0"/>
    <x v="1"/>
  </r>
  <r>
    <x v="5"/>
    <n v="1175.01"/>
    <n v="967.3"/>
    <n v="207.71000000000004"/>
    <x v="0"/>
    <x v="1"/>
  </r>
  <r>
    <x v="6"/>
    <n v="25434.83"/>
    <n v="19009.09"/>
    <n v="6425.7400000000016"/>
    <x v="0"/>
    <x v="1"/>
  </r>
  <r>
    <x v="7"/>
    <n v="13375.36"/>
    <n v="8476.67"/>
    <n v="4898.6900000000005"/>
    <x v="0"/>
    <x v="1"/>
  </r>
  <r>
    <x v="0"/>
    <n v="61316.13"/>
    <n v="48878.16"/>
    <n v="12437.969999999994"/>
    <x v="1"/>
    <x v="1"/>
  </r>
  <r>
    <x v="1"/>
    <n v="49449.13"/>
    <n v="34427.54"/>
    <n v="15021.589999999997"/>
    <x v="1"/>
    <x v="1"/>
  </r>
  <r>
    <x v="2"/>
    <n v="7317.98"/>
    <n v="5601.6"/>
    <n v="1716.3799999999992"/>
    <x v="1"/>
    <x v="1"/>
  </r>
  <r>
    <x v="3"/>
    <n v="22397.11"/>
    <n v="18598.66"/>
    <n v="3798.4500000000007"/>
    <x v="1"/>
    <x v="1"/>
  </r>
  <r>
    <x v="4"/>
    <n v="2434.65"/>
    <n v="2039.01"/>
    <n v="395.6400000000001"/>
    <x v="1"/>
    <x v="1"/>
  </r>
  <r>
    <x v="5"/>
    <n v="1534.54"/>
    <n v="1144.49"/>
    <n v="390.04999999999995"/>
    <x v="1"/>
    <x v="1"/>
  </r>
  <r>
    <x v="6"/>
    <n v="32129.33"/>
    <n v="23226.61"/>
    <n v="8902.7200000000012"/>
    <x v="1"/>
    <x v="1"/>
  </r>
  <r>
    <x v="7"/>
    <n v="13391.81"/>
    <n v="8930.43"/>
    <n v="4461.3799999999992"/>
    <x v="1"/>
    <x v="1"/>
  </r>
  <r>
    <x v="0"/>
    <n v="92243.14"/>
    <n v="59711.5"/>
    <n v="32531.64"/>
    <x v="2"/>
    <x v="1"/>
  </r>
  <r>
    <x v="1"/>
    <n v="31777.58"/>
    <n v="25270"/>
    <n v="6507.5800000000017"/>
    <x v="2"/>
    <x v="1"/>
  </r>
  <r>
    <x v="2"/>
    <n v="7336.08"/>
    <n v="5290.27"/>
    <n v="2045.8099999999995"/>
    <x v="2"/>
    <x v="1"/>
  </r>
  <r>
    <x v="3"/>
    <n v="20914.84"/>
    <n v="13009.03"/>
    <n v="7905.8099999999995"/>
    <x v="2"/>
    <x v="1"/>
  </r>
  <r>
    <x v="4"/>
    <n v="2140.5300000000002"/>
    <n v="1448.43"/>
    <n v="692.10000000000014"/>
    <x v="2"/>
    <x v="1"/>
  </r>
  <r>
    <x v="5"/>
    <n v="1129.83"/>
    <n v="733.54"/>
    <n v="396.28999999999996"/>
    <x v="2"/>
    <x v="1"/>
  </r>
  <r>
    <x v="6"/>
    <n v="19673.43"/>
    <n v="13530.58"/>
    <n v="6142.85"/>
    <x v="2"/>
    <x v="1"/>
  </r>
  <r>
    <x v="7"/>
    <n v="16726.48"/>
    <n v="13986.56"/>
    <n v="2739.92"/>
    <x v="2"/>
    <x v="1"/>
  </r>
  <r>
    <x v="0"/>
    <n v="92306.8"/>
    <n v="66476.02"/>
    <n v="25830.78"/>
    <x v="3"/>
    <x v="1"/>
  </r>
  <r>
    <x v="1"/>
    <n v="38072.69"/>
    <n v="31620.959999999999"/>
    <n v="6451.7300000000032"/>
    <x v="3"/>
    <x v="1"/>
  </r>
  <r>
    <x v="2"/>
    <n v="6889.2"/>
    <n v="5356.9"/>
    <n v="1532.3000000000002"/>
    <x v="3"/>
    <x v="1"/>
  </r>
  <r>
    <x v="3"/>
    <n v="14055.77"/>
    <n v="9259.67"/>
    <n v="4796.1000000000004"/>
    <x v="3"/>
    <x v="1"/>
  </r>
  <r>
    <x v="4"/>
    <n v="3088.16"/>
    <n v="2448.6"/>
    <n v="639.55999999999995"/>
    <x v="3"/>
    <x v="1"/>
  </r>
  <r>
    <x v="5"/>
    <n v="1511.39"/>
    <n v="1130.99"/>
    <n v="380.40000000000009"/>
    <x v="3"/>
    <x v="1"/>
  </r>
  <r>
    <x v="6"/>
    <n v="26104.84"/>
    <n v="19413.18"/>
    <n v="6691.66"/>
    <x v="3"/>
    <x v="1"/>
  </r>
  <r>
    <x v="7"/>
    <n v="17380.73"/>
    <n v="11833.41"/>
    <n v="5547.32"/>
    <x v="3"/>
    <x v="1"/>
  </r>
  <r>
    <x v="0"/>
    <n v="91454.27"/>
    <n v="61592.24"/>
    <n v="29862.030000000006"/>
    <x v="0"/>
    <x v="2"/>
  </r>
  <r>
    <x v="1"/>
    <n v="55313.9"/>
    <n v="33871.67"/>
    <n v="21442.230000000003"/>
    <x v="0"/>
    <x v="2"/>
  </r>
  <r>
    <x v="2"/>
    <n v="8227.3799999999992"/>
    <n v="6823.91"/>
    <n v="1403.4699999999993"/>
    <x v="0"/>
    <x v="2"/>
  </r>
  <r>
    <x v="3"/>
    <n v="15424.52"/>
    <n v="11515.14"/>
    <n v="3909.380000000001"/>
    <x v="0"/>
    <x v="2"/>
  </r>
  <r>
    <x v="4"/>
    <n v="3100.38"/>
    <n v="2498.56"/>
    <n v="601.82000000000016"/>
    <x v="0"/>
    <x v="2"/>
  </r>
  <r>
    <x v="5"/>
    <n v="1444.06"/>
    <n v="966.3"/>
    <n v="477.76"/>
    <x v="0"/>
    <x v="2"/>
  </r>
  <r>
    <x v="6"/>
    <n v="28417.15"/>
    <n v="23600.560000000001"/>
    <n v="4816.59"/>
    <x v="0"/>
    <x v="2"/>
  </r>
  <r>
    <x v="7"/>
    <n v="19625.87"/>
    <n v="12574.56"/>
    <n v="7051.3099999999995"/>
    <x v="0"/>
    <x v="2"/>
  </r>
  <r>
    <x v="0"/>
    <n v="67574.09"/>
    <n v="42680.2"/>
    <n v="24893.89"/>
    <x v="1"/>
    <x v="2"/>
  </r>
  <r>
    <x v="1"/>
    <n v="34651.61"/>
    <n v="24698.86"/>
    <n v="9952.75"/>
    <x v="1"/>
    <x v="2"/>
  </r>
  <r>
    <x v="2"/>
    <n v="5808.73"/>
    <n v="4702.09"/>
    <n v="1106.6399999999994"/>
    <x v="1"/>
    <x v="2"/>
  </r>
  <r>
    <x v="3"/>
    <n v="21586.720000000001"/>
    <n v="13796.1"/>
    <n v="7790.6200000000008"/>
    <x v="1"/>
    <x v="2"/>
  </r>
  <r>
    <x v="4"/>
    <n v="2824.91"/>
    <n v="1933.89"/>
    <n v="891.01999999999975"/>
    <x v="1"/>
    <x v="2"/>
  </r>
  <r>
    <x v="5"/>
    <n v="1324.03"/>
    <n v="874.53"/>
    <n v="449.5"/>
    <x v="1"/>
    <x v="2"/>
  </r>
  <r>
    <x v="6"/>
    <n v="23624.95"/>
    <n v="15410.72"/>
    <n v="8214.2300000000014"/>
    <x v="1"/>
    <x v="2"/>
  </r>
  <r>
    <x v="7"/>
    <n v="14481.87"/>
    <n v="11198.75"/>
    <n v="3283.1200000000008"/>
    <x v="1"/>
    <x v="2"/>
  </r>
  <r>
    <x v="0"/>
    <n v="85117.7"/>
    <n v="52825.89"/>
    <n v="32291.809999999998"/>
    <x v="2"/>
    <x v="2"/>
  </r>
  <r>
    <x v="1"/>
    <n v="49684.74"/>
    <n v="40293.82"/>
    <n v="9390.9199999999983"/>
    <x v="2"/>
    <x v="2"/>
  </r>
  <r>
    <x v="2"/>
    <n v="7924.2"/>
    <n v="6274.91"/>
    <n v="1649.29"/>
    <x v="2"/>
    <x v="2"/>
  </r>
  <r>
    <x v="3"/>
    <n v="14077.1"/>
    <n v="10088.950000000001"/>
    <n v="3988.1499999999996"/>
    <x v="2"/>
    <x v="2"/>
  </r>
  <r>
    <x v="4"/>
    <n v="2034.51"/>
    <n v="1598.52"/>
    <n v="435.99"/>
    <x v="2"/>
    <x v="2"/>
  </r>
  <r>
    <x v="5"/>
    <n v="1053.07"/>
    <n v="814.7"/>
    <n v="238.36999999999989"/>
    <x v="2"/>
    <x v="2"/>
  </r>
  <r>
    <x v="6"/>
    <n v="23967.24"/>
    <n v="18460.73"/>
    <n v="5506.510000000002"/>
    <x v="2"/>
    <x v="2"/>
  </r>
  <r>
    <x v="7"/>
    <n v="13390.12"/>
    <n v="8297.0499999999993"/>
    <n v="5093.0700000000015"/>
    <x v="2"/>
    <x v="2"/>
  </r>
  <r>
    <x v="0"/>
    <n v="82821.119999999995"/>
    <n v="56414.82"/>
    <n v="26406.299999999996"/>
    <x v="3"/>
    <x v="2"/>
  </r>
  <r>
    <x v="1"/>
    <n v="57621.86"/>
    <n v="39059.339999999997"/>
    <n v="18562.520000000004"/>
    <x v="3"/>
    <x v="2"/>
  </r>
  <r>
    <x v="2"/>
    <n v="7351.7"/>
    <n v="5413.4"/>
    <n v="1938.3000000000002"/>
    <x v="3"/>
    <x v="2"/>
  </r>
  <r>
    <x v="3"/>
    <n v="25212.7"/>
    <n v="15951.31"/>
    <n v="9261.3900000000012"/>
    <x v="3"/>
    <x v="2"/>
  </r>
  <r>
    <x v="4"/>
    <n v="2976.11"/>
    <n v="2163.3000000000002"/>
    <n v="812.81"/>
    <x v="3"/>
    <x v="2"/>
  </r>
  <r>
    <x v="5"/>
    <n v="1525.52"/>
    <n v="1269.9000000000001"/>
    <n v="255.61999999999989"/>
    <x v="3"/>
    <x v="2"/>
  </r>
  <r>
    <x v="6"/>
    <n v="26367.07"/>
    <n v="20325.66"/>
    <n v="6041.41"/>
    <x v="3"/>
    <x v="2"/>
  </r>
  <r>
    <x v="7"/>
    <n v="16026.69"/>
    <n v="11843.01"/>
    <n v="4183.68"/>
    <x v="3"/>
    <x v="2"/>
  </r>
  <r>
    <x v="0"/>
    <n v="77693.39"/>
    <n v="61951.02"/>
    <n v="15742.370000000003"/>
    <x v="0"/>
    <x v="3"/>
  </r>
  <r>
    <x v="1"/>
    <n v="68597.899999999994"/>
    <n v="47449.3"/>
    <n v="21148.599999999991"/>
    <x v="0"/>
    <x v="3"/>
  </r>
  <r>
    <x v="2"/>
    <n v="7628.28"/>
    <n v="6395.85"/>
    <n v="1232.4299999999994"/>
    <x v="0"/>
    <x v="3"/>
  </r>
  <r>
    <x v="3"/>
    <n v="18480.45"/>
    <n v="11596.57"/>
    <n v="6883.880000000001"/>
    <x v="0"/>
    <x v="3"/>
  </r>
  <r>
    <x v="4"/>
    <n v="2506.9299999999998"/>
    <n v="1998.76"/>
    <n v="508.16999999999985"/>
    <x v="0"/>
    <x v="3"/>
  </r>
  <r>
    <x v="5"/>
    <n v="1778.28"/>
    <n v="1268.01"/>
    <n v="510.27"/>
    <x v="0"/>
    <x v="3"/>
  </r>
  <r>
    <x v="6"/>
    <n v="36016.019999999997"/>
    <n v="22133.62"/>
    <n v="13882.399999999998"/>
    <x v="0"/>
    <x v="3"/>
  </r>
  <r>
    <x v="7"/>
    <n v="19620.439999999999"/>
    <n v="13965.96"/>
    <n v="5654.48"/>
    <x v="0"/>
    <x v="3"/>
  </r>
  <r>
    <x v="0"/>
    <n v="98451.06"/>
    <n v="68872.66"/>
    <n v="29578.399999999994"/>
    <x v="1"/>
    <x v="3"/>
  </r>
  <r>
    <x v="1"/>
    <n v="49745.46"/>
    <n v="32924.620000000003"/>
    <n v="16820.839999999997"/>
    <x v="1"/>
    <x v="3"/>
  </r>
  <r>
    <x v="2"/>
    <n v="6160.43"/>
    <n v="4372.68"/>
    <n v="1787.75"/>
    <x v="1"/>
    <x v="3"/>
  </r>
  <r>
    <x v="3"/>
    <n v="19453.95"/>
    <n v="15017.7"/>
    <n v="4436.25"/>
    <x v="1"/>
    <x v="3"/>
  </r>
  <r>
    <x v="4"/>
    <n v="3658.51"/>
    <n v="2840.7"/>
    <n v="817.8100000000004"/>
    <x v="1"/>
    <x v="3"/>
  </r>
  <r>
    <x v="5"/>
    <n v="1465.16"/>
    <n v="973.42"/>
    <n v="491.74000000000012"/>
    <x v="1"/>
    <x v="3"/>
  </r>
  <r>
    <x v="6"/>
    <n v="30513.81"/>
    <n v="22029.759999999998"/>
    <n v="8484.0500000000029"/>
    <x v="1"/>
    <x v="3"/>
  </r>
  <r>
    <x v="7"/>
    <n v="18745.349999999999"/>
    <n v="15587.11"/>
    <n v="3158.239999999998"/>
    <x v="1"/>
    <x v="3"/>
  </r>
  <r>
    <x v="0"/>
    <n v="72806.39"/>
    <n v="52444.82"/>
    <n v="20361.57"/>
    <x v="2"/>
    <x v="3"/>
  </r>
  <r>
    <x v="1"/>
    <n v="50200.61"/>
    <n v="38902.959999999999"/>
    <n v="11297.650000000001"/>
    <x v="2"/>
    <x v="3"/>
  </r>
  <r>
    <x v="2"/>
    <n v="9438.1"/>
    <n v="7449.38"/>
    <n v="1988.7200000000003"/>
    <x v="2"/>
    <x v="3"/>
  </r>
  <r>
    <x v="3"/>
    <n v="23078.959999999999"/>
    <n v="18104.54"/>
    <n v="4974.4199999999983"/>
    <x v="2"/>
    <x v="3"/>
  </r>
  <r>
    <x v="4"/>
    <n v="3271.79"/>
    <n v="2642.13"/>
    <n v="629.65999999999985"/>
    <x v="2"/>
    <x v="3"/>
  </r>
  <r>
    <x v="5"/>
    <n v="1594.42"/>
    <n v="1223.05"/>
    <n v="371.37000000000012"/>
    <x v="2"/>
    <x v="3"/>
  </r>
  <r>
    <x v="6"/>
    <n v="26946.83"/>
    <n v="22118.93"/>
    <n v="4827.9000000000015"/>
    <x v="2"/>
    <x v="3"/>
  </r>
  <r>
    <x v="7"/>
    <n v="15778.21"/>
    <n v="11855.48"/>
    <n v="3922.7299999999996"/>
    <x v="2"/>
    <x v="3"/>
  </r>
  <r>
    <x v="0"/>
    <n v="116831"/>
    <n v="97162.74"/>
    <n v="19668.259999999995"/>
    <x v="3"/>
    <x v="3"/>
  </r>
  <r>
    <x v="1"/>
    <n v="67634.039999999994"/>
    <n v="41356.1"/>
    <n v="26277.939999999995"/>
    <x v="3"/>
    <x v="3"/>
  </r>
  <r>
    <x v="2"/>
    <n v="7457.2"/>
    <n v="5083.5600000000004"/>
    <n v="2373.6399999999994"/>
    <x v="3"/>
    <x v="3"/>
  </r>
  <r>
    <x v="3"/>
    <n v="21619.1"/>
    <n v="13910.74"/>
    <n v="7708.3599999999988"/>
    <x v="3"/>
    <x v="3"/>
  </r>
  <r>
    <x v="4"/>
    <n v="3279.88"/>
    <n v="2060.71"/>
    <n v="1219.17"/>
    <x v="3"/>
    <x v="3"/>
  </r>
  <r>
    <x v="5"/>
    <n v="1368.49"/>
    <n v="1131.76"/>
    <n v="236.73000000000002"/>
    <x v="3"/>
    <x v="3"/>
  </r>
  <r>
    <x v="6"/>
    <n v="37475.96"/>
    <n v="26845.54"/>
    <n v="10630.419999999998"/>
    <x v="3"/>
    <x v="3"/>
  </r>
  <r>
    <x v="7"/>
    <n v="14103.13"/>
    <n v="11703.91"/>
    <n v="2399.219999999999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1:D78" firstHeaderRow="0" firstDataRow="1" firstDataCol="1" rowPageCount="1" colPageCount="1"/>
  <pivotFields count="6">
    <pivotField axis="axisRow" showAll="0">
      <items count="9">
        <item x="2"/>
        <item x="4"/>
        <item x="0"/>
        <item x="3"/>
        <item x="5"/>
        <item x="7"/>
        <item x="1"/>
        <item x="6"/>
        <item t="default"/>
      </items>
    </pivotField>
    <pivotField dataField="1" numFmtId="164" showAll="0"/>
    <pivotField dataField="1" numFmtId="164" showAll="0"/>
    <pivotField dataField="1" numFmtId="164" showAll="0"/>
    <pivotField axis="axisRow" showAll="0">
      <items count="5">
        <item x="2"/>
        <item x="0"/>
        <item x="1"/>
        <item x="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2">
    <field x="4"/>
    <field x="0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Sum of Sales" fld="1" baseField="0" baseItem="0"/>
    <dataField name="Sum of Profit" fld="3" baseField="0" baseItem="0"/>
    <dataField name="Sum of Expenses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9:F35" firstHeaderRow="1" firstDataRow="2" firstDataCol="1"/>
  <pivotFields count="6">
    <pivotField showAll="0"/>
    <pivotField numFmtId="164" showAll="0"/>
    <pivotField numFmtId="164" showAll="0"/>
    <pivotField dataField="1" numFmtId="164"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3" baseField="0" baseItem="0"/>
  </dataFields>
  <chartFormats count="8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F9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dataField="1" numFmtId="165" showAll="0"/>
    <pivotField numFmtId="165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chartFormats count="8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Table" displayName="SalesTable" ref="A1:F129">
  <autoFilter ref="A1:F129"/>
  <tableColumns count="6">
    <tableColumn id="1" name="Product"/>
    <tableColumn id="2" name="Sales"/>
    <tableColumn id="3" name="Expenses"/>
    <tableColumn id="4" name="Profit"/>
    <tableColumn id="5" name="Region"/>
    <tableColumn id="6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9"/>
  <sheetViews>
    <sheetView topLeftCell="I1" workbookViewId="0">
      <pane ySplit="1" topLeftCell="A14" activePane="bottomLeft" state="frozen"/>
      <selection pane="bottomLeft" activeCell="H10" sqref="H10:K26"/>
    </sheetView>
  </sheetViews>
  <sheetFormatPr defaultRowHeight="14.5" x14ac:dyDescent="0.35"/>
  <cols>
    <col min="1" max="1" width="18" customWidth="1"/>
    <col min="2" max="4" width="16" customWidth="1"/>
    <col min="5" max="5" width="14" customWidth="1"/>
    <col min="6" max="6" width="12" customWidth="1"/>
    <col min="8" max="8" width="20" customWidth="1"/>
    <col min="9" max="11" width="16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M1" t="s">
        <v>5</v>
      </c>
      <c r="N1" t="s">
        <v>7</v>
      </c>
      <c r="O1" t="s">
        <v>8</v>
      </c>
      <c r="P1" t="s">
        <v>9</v>
      </c>
      <c r="Q1" t="s">
        <v>10</v>
      </c>
    </row>
    <row r="2" spans="1:17" x14ac:dyDescent="0.35">
      <c r="A2" t="s">
        <v>11</v>
      </c>
      <c r="B2" s="3">
        <v>62743.44</v>
      </c>
      <c r="C2" s="3">
        <v>48227.519999999997</v>
      </c>
      <c r="D2" s="3">
        <f t="shared" ref="D2:D33" si="0">B2-C2</f>
        <v>14515.920000000006</v>
      </c>
      <c r="E2" t="s">
        <v>7</v>
      </c>
      <c r="F2" t="s">
        <v>12</v>
      </c>
      <c r="H2" s="4" t="s">
        <v>5</v>
      </c>
      <c r="I2" s="4" t="s">
        <v>13</v>
      </c>
      <c r="J2" s="4" t="s">
        <v>14</v>
      </c>
      <c r="K2" s="4" t="s">
        <v>15</v>
      </c>
      <c r="M2" t="s">
        <v>12</v>
      </c>
      <c r="N2">
        <f t="shared" ref="N2:Q5" si="1">SUMIFS($B$2:$B$129,$F$2:$F$129,$M2,$E$2:$E$129,N$1)</f>
        <v>178772.33999999997</v>
      </c>
      <c r="O2">
        <f t="shared" si="1"/>
        <v>167559.26</v>
      </c>
      <c r="P2">
        <f t="shared" si="1"/>
        <v>171984.49</v>
      </c>
      <c r="Q2">
        <f t="shared" si="1"/>
        <v>168962.7</v>
      </c>
    </row>
    <row r="3" spans="1:17" x14ac:dyDescent="0.35">
      <c r="A3" t="s">
        <v>16</v>
      </c>
      <c r="B3" s="3">
        <v>44174.02</v>
      </c>
      <c r="C3" s="3">
        <v>31813.82</v>
      </c>
      <c r="D3" s="3">
        <f t="shared" si="0"/>
        <v>12360.199999999997</v>
      </c>
      <c r="E3" t="s">
        <v>7</v>
      </c>
      <c r="F3" t="s">
        <v>12</v>
      </c>
      <c r="H3" t="s">
        <v>12</v>
      </c>
      <c r="I3" s="3">
        <f>AVERAGEIF($F$2:$F$129,H3,$B$2:$B$129)</f>
        <v>21477.462187500001</v>
      </c>
      <c r="J3" s="3">
        <f>SUMIFS($C$2:$C$129,$F$2:$F$129,H3)</f>
        <v>493192.64999999997</v>
      </c>
      <c r="K3" s="3" t="e">
        <f ca="1">MAXIFS($D$2:$D$129,$F$2:$F$129,H3)</f>
        <v>#NAME?</v>
      </c>
      <c r="M3" t="s">
        <v>17</v>
      </c>
      <c r="N3">
        <f t="shared" si="1"/>
        <v>196812.25</v>
      </c>
      <c r="O3">
        <f t="shared" si="1"/>
        <v>189970.68</v>
      </c>
      <c r="P3">
        <f t="shared" si="1"/>
        <v>191941.90999999997</v>
      </c>
      <c r="Q3">
        <f t="shared" si="1"/>
        <v>199409.58000000002</v>
      </c>
    </row>
    <row r="4" spans="1:17" x14ac:dyDescent="0.35">
      <c r="A4" t="s">
        <v>18</v>
      </c>
      <c r="B4" s="3">
        <v>5403.29</v>
      </c>
      <c r="C4" s="3">
        <v>4281.0600000000004</v>
      </c>
      <c r="D4" s="3">
        <f t="shared" si="0"/>
        <v>1122.2299999999996</v>
      </c>
      <c r="E4" t="s">
        <v>7</v>
      </c>
      <c r="F4" t="s">
        <v>12</v>
      </c>
      <c r="H4" t="s">
        <v>17</v>
      </c>
      <c r="I4" s="3">
        <f>AVERAGEIF($F$2:$F$129,H4,$B$2:$B$129)</f>
        <v>24316.700625000001</v>
      </c>
      <c r="J4" s="3">
        <f>SUMIFS($C$2:$C$129,$F$2:$F$129,H4)</f>
        <v>568519.79000000015</v>
      </c>
      <c r="K4" s="3" t="e">
        <f ca="1">MAXIFS($D$2:$D$129,$F$2:$F$129,H4)</f>
        <v>#NAME?</v>
      </c>
      <c r="M4" t="s">
        <v>19</v>
      </c>
      <c r="N4">
        <f t="shared" si="1"/>
        <v>223007.53</v>
      </c>
      <c r="O4">
        <f t="shared" si="1"/>
        <v>171876.91</v>
      </c>
      <c r="P4">
        <f t="shared" si="1"/>
        <v>197248.68000000002</v>
      </c>
      <c r="Q4">
        <f t="shared" si="1"/>
        <v>219902.77</v>
      </c>
    </row>
    <row r="5" spans="1:17" x14ac:dyDescent="0.35">
      <c r="A5" t="s">
        <v>20</v>
      </c>
      <c r="B5" s="3">
        <v>20569.05</v>
      </c>
      <c r="C5" s="3">
        <v>14971.49</v>
      </c>
      <c r="D5" s="3">
        <f t="shared" si="0"/>
        <v>5597.5599999999995</v>
      </c>
      <c r="E5" t="s">
        <v>7</v>
      </c>
      <c r="F5" t="s">
        <v>12</v>
      </c>
      <c r="H5" t="s">
        <v>19</v>
      </c>
      <c r="I5" s="3">
        <f>AVERAGEIF($F$2:$F$129,H5,$B$2:$B$129)</f>
        <v>25376.12156249999</v>
      </c>
      <c r="J5" s="3">
        <f>SUMIFS($C$2:$C$129,$F$2:$F$129,H5)</f>
        <v>559833.39000000013</v>
      </c>
      <c r="K5" s="3" t="e">
        <f ca="1">MAXIFS($D$2:$D$129,$F$2:$F$129,H5)</f>
        <v>#NAME?</v>
      </c>
      <c r="M5" t="s">
        <v>21</v>
      </c>
      <c r="N5">
        <f t="shared" si="1"/>
        <v>232321.68999999997</v>
      </c>
      <c r="O5">
        <f t="shared" si="1"/>
        <v>228193.73</v>
      </c>
      <c r="P5">
        <f t="shared" si="1"/>
        <v>203115.31000000003</v>
      </c>
      <c r="Q5">
        <f t="shared" si="1"/>
        <v>269768.8</v>
      </c>
    </row>
    <row r="6" spans="1:17" x14ac:dyDescent="0.35">
      <c r="A6" t="s">
        <v>22</v>
      </c>
      <c r="B6" s="3">
        <v>2458.4899999999998</v>
      </c>
      <c r="C6" s="3">
        <v>1633.16</v>
      </c>
      <c r="D6" s="3">
        <f t="shared" si="0"/>
        <v>825.3299999999997</v>
      </c>
      <c r="E6" t="s">
        <v>7</v>
      </c>
      <c r="F6" t="s">
        <v>12</v>
      </c>
      <c r="H6" t="s">
        <v>21</v>
      </c>
      <c r="I6" s="3">
        <f>AVERAGEIF($F$2:$F$129,H6,$B$2:$B$129)</f>
        <v>29168.735312499994</v>
      </c>
      <c r="J6" s="3">
        <f>SUMIFS($C$2:$C$129,$F$2:$F$129,H6)</f>
        <v>683374.09000000008</v>
      </c>
      <c r="K6" s="3" t="e">
        <f ca="1">MAXIFS($D$2:$D$129,$F$2:$F$129,H6)</f>
        <v>#NAME?</v>
      </c>
    </row>
    <row r="7" spans="1:17" x14ac:dyDescent="0.35">
      <c r="A7" t="s">
        <v>23</v>
      </c>
      <c r="B7" s="3">
        <v>863.13</v>
      </c>
      <c r="C7" s="3">
        <v>600.16999999999996</v>
      </c>
      <c r="D7" s="3">
        <f t="shared" si="0"/>
        <v>262.96000000000004</v>
      </c>
      <c r="E7" t="s">
        <v>7</v>
      </c>
      <c r="F7" t="s">
        <v>12</v>
      </c>
    </row>
    <row r="8" spans="1:17" x14ac:dyDescent="0.35">
      <c r="A8" t="s">
        <v>24</v>
      </c>
      <c r="B8" s="3">
        <v>26666.67</v>
      </c>
      <c r="C8" s="3">
        <v>16691.490000000002</v>
      </c>
      <c r="D8" s="3">
        <f t="shared" si="0"/>
        <v>9975.1799999999967</v>
      </c>
      <c r="E8" t="s">
        <v>7</v>
      </c>
      <c r="F8" t="s">
        <v>12</v>
      </c>
    </row>
    <row r="9" spans="1:17" x14ac:dyDescent="0.35">
      <c r="A9" t="s">
        <v>25</v>
      </c>
      <c r="B9" s="3">
        <v>15894.25</v>
      </c>
      <c r="C9" s="3">
        <v>10544.53</v>
      </c>
      <c r="D9" s="3">
        <f t="shared" si="0"/>
        <v>5349.7199999999993</v>
      </c>
      <c r="E9" t="s">
        <v>7</v>
      </c>
      <c r="F9" t="s">
        <v>12</v>
      </c>
      <c r="H9" s="2" t="s">
        <v>26</v>
      </c>
    </row>
    <row r="10" spans="1:17" x14ac:dyDescent="0.35">
      <c r="A10" t="s">
        <v>11</v>
      </c>
      <c r="B10" s="3">
        <v>63004</v>
      </c>
      <c r="C10" s="3">
        <v>39045.919999999998</v>
      </c>
      <c r="D10" s="3">
        <f t="shared" si="0"/>
        <v>23958.080000000002</v>
      </c>
      <c r="E10" t="s">
        <v>8</v>
      </c>
      <c r="F10" t="s">
        <v>12</v>
      </c>
      <c r="H10" s="4" t="s">
        <v>5</v>
      </c>
      <c r="I10" s="4" t="s">
        <v>4</v>
      </c>
      <c r="J10" s="4" t="s">
        <v>1</v>
      </c>
      <c r="K10" s="4" t="s">
        <v>3</v>
      </c>
    </row>
    <row r="11" spans="1:17" x14ac:dyDescent="0.35">
      <c r="A11" t="s">
        <v>16</v>
      </c>
      <c r="B11" s="3">
        <v>50180.17</v>
      </c>
      <c r="C11" s="3">
        <v>39135.42</v>
      </c>
      <c r="D11" s="3">
        <f t="shared" si="0"/>
        <v>11044.75</v>
      </c>
      <c r="E11" t="s">
        <v>8</v>
      </c>
      <c r="F11" t="s">
        <v>12</v>
      </c>
      <c r="H11" t="s">
        <v>12</v>
      </c>
      <c r="I11" t="s">
        <v>7</v>
      </c>
      <c r="J11" s="5">
        <f t="shared" ref="J11:J26" si="2">SUMIFS($B$2:$B$129,$F$2:$F$129,H11,$E$2:$E$129,I11)</f>
        <v>178772.33999999997</v>
      </c>
      <c r="K11" s="5">
        <f t="shared" ref="K11:K26" si="3">SUMIFS($D$2:$D$129,$F$2:$F$129,H11,$E$2:$E$129,I11)</f>
        <v>50009.100000000006</v>
      </c>
    </row>
    <row r="12" spans="1:17" x14ac:dyDescent="0.35">
      <c r="A12" t="s">
        <v>18</v>
      </c>
      <c r="B12" s="3">
        <v>7363</v>
      </c>
      <c r="C12" s="3">
        <v>5534.43</v>
      </c>
      <c r="D12" s="3">
        <f t="shared" si="0"/>
        <v>1828.5699999999997</v>
      </c>
      <c r="E12" t="s">
        <v>8</v>
      </c>
      <c r="F12" t="s">
        <v>12</v>
      </c>
      <c r="H12" t="s">
        <v>12</v>
      </c>
      <c r="I12" t="s">
        <v>8</v>
      </c>
      <c r="J12" s="5">
        <f t="shared" si="2"/>
        <v>167559.26</v>
      </c>
      <c r="K12" s="5">
        <f t="shared" si="3"/>
        <v>48014.48</v>
      </c>
    </row>
    <row r="13" spans="1:17" x14ac:dyDescent="0.35">
      <c r="A13" t="s">
        <v>20</v>
      </c>
      <c r="B13" s="3">
        <v>12730.31</v>
      </c>
      <c r="C13" s="3">
        <v>8728.58</v>
      </c>
      <c r="D13" s="3">
        <f t="shared" si="0"/>
        <v>4001.7299999999996</v>
      </c>
      <c r="E13" t="s">
        <v>8</v>
      </c>
      <c r="F13" t="s">
        <v>12</v>
      </c>
      <c r="H13" t="s">
        <v>12</v>
      </c>
      <c r="I13" t="s">
        <v>9</v>
      </c>
      <c r="J13" s="5">
        <f t="shared" si="2"/>
        <v>171984.49</v>
      </c>
      <c r="K13" s="5">
        <f t="shared" si="3"/>
        <v>46040.260000000009</v>
      </c>
    </row>
    <row r="14" spans="1:17" x14ac:dyDescent="0.35">
      <c r="A14" t="s">
        <v>22</v>
      </c>
      <c r="B14" s="3">
        <v>2354.4</v>
      </c>
      <c r="C14" s="3">
        <v>1498.9</v>
      </c>
      <c r="D14" s="3">
        <f t="shared" si="0"/>
        <v>855.5</v>
      </c>
      <c r="E14" t="s">
        <v>8</v>
      </c>
      <c r="F14" t="s">
        <v>12</v>
      </c>
      <c r="H14" t="s">
        <v>12</v>
      </c>
      <c r="I14" t="s">
        <v>10</v>
      </c>
      <c r="J14" s="5">
        <f t="shared" si="2"/>
        <v>168962.7</v>
      </c>
      <c r="K14" s="5">
        <f t="shared" si="3"/>
        <v>50022.3</v>
      </c>
    </row>
    <row r="15" spans="1:17" x14ac:dyDescent="0.35">
      <c r="A15" t="s">
        <v>23</v>
      </c>
      <c r="B15" s="3">
        <v>1406.03</v>
      </c>
      <c r="C15" s="3">
        <v>976.83</v>
      </c>
      <c r="D15" s="3">
        <f t="shared" si="0"/>
        <v>429.19999999999993</v>
      </c>
      <c r="E15" t="s">
        <v>8</v>
      </c>
      <c r="F15" t="s">
        <v>12</v>
      </c>
      <c r="H15" t="s">
        <v>17</v>
      </c>
      <c r="I15" t="s">
        <v>7</v>
      </c>
      <c r="J15" s="5">
        <f t="shared" si="2"/>
        <v>196812.25</v>
      </c>
      <c r="K15" s="5">
        <f t="shared" si="3"/>
        <v>51658.60000000002</v>
      </c>
    </row>
    <row r="16" spans="1:17" x14ac:dyDescent="0.35">
      <c r="A16" t="s">
        <v>24</v>
      </c>
      <c r="B16" s="3">
        <v>19976.72</v>
      </c>
      <c r="C16" s="3">
        <v>15941.97</v>
      </c>
      <c r="D16" s="3">
        <f t="shared" si="0"/>
        <v>4034.7500000000018</v>
      </c>
      <c r="E16" t="s">
        <v>8</v>
      </c>
      <c r="F16" t="s">
        <v>12</v>
      </c>
      <c r="H16" t="s">
        <v>17</v>
      </c>
      <c r="I16" t="s">
        <v>8</v>
      </c>
      <c r="J16" s="5">
        <f t="shared" si="2"/>
        <v>189970.68</v>
      </c>
      <c r="K16" s="5">
        <f t="shared" si="3"/>
        <v>47124.179999999986</v>
      </c>
    </row>
    <row r="17" spans="1:17" x14ac:dyDescent="0.35">
      <c r="A17" t="s">
        <v>25</v>
      </c>
      <c r="B17" s="3">
        <v>10544.63</v>
      </c>
      <c r="C17" s="3">
        <v>8682.73</v>
      </c>
      <c r="D17" s="3">
        <f t="shared" si="0"/>
        <v>1861.8999999999996</v>
      </c>
      <c r="E17" t="s">
        <v>8</v>
      </c>
      <c r="F17" t="s">
        <v>12</v>
      </c>
      <c r="H17" t="s">
        <v>17</v>
      </c>
      <c r="I17" t="s">
        <v>9</v>
      </c>
      <c r="J17" s="5">
        <f t="shared" si="2"/>
        <v>191941.90999999997</v>
      </c>
      <c r="K17" s="5">
        <f t="shared" si="3"/>
        <v>58961.999999999993</v>
      </c>
    </row>
    <row r="18" spans="1:17" x14ac:dyDescent="0.35">
      <c r="A18" t="s">
        <v>11</v>
      </c>
      <c r="B18" s="3">
        <v>68835.88</v>
      </c>
      <c r="C18" s="3">
        <v>50729.34</v>
      </c>
      <c r="D18" s="3">
        <f t="shared" si="0"/>
        <v>18106.540000000008</v>
      </c>
      <c r="E18" t="s">
        <v>9</v>
      </c>
      <c r="F18" t="s">
        <v>12</v>
      </c>
      <c r="H18" t="s">
        <v>17</v>
      </c>
      <c r="I18" t="s">
        <v>10</v>
      </c>
      <c r="J18" s="5">
        <f t="shared" si="2"/>
        <v>199409.58000000002</v>
      </c>
      <c r="K18" s="5">
        <f t="shared" si="3"/>
        <v>51869.85</v>
      </c>
    </row>
    <row r="19" spans="1:17" x14ac:dyDescent="0.35">
      <c r="A19" t="s">
        <v>16</v>
      </c>
      <c r="B19" s="3">
        <v>34817.06</v>
      </c>
      <c r="C19" s="3">
        <v>25119.88</v>
      </c>
      <c r="D19" s="3">
        <f t="shared" si="0"/>
        <v>9697.1799999999967</v>
      </c>
      <c r="E19" t="s">
        <v>9</v>
      </c>
      <c r="F19" t="s">
        <v>12</v>
      </c>
      <c r="H19" t="s">
        <v>19</v>
      </c>
      <c r="I19" t="s">
        <v>7</v>
      </c>
      <c r="J19" s="5">
        <f t="shared" si="2"/>
        <v>223007.53</v>
      </c>
      <c r="K19" s="5">
        <f t="shared" si="3"/>
        <v>69564.590000000011</v>
      </c>
    </row>
    <row r="20" spans="1:17" x14ac:dyDescent="0.35">
      <c r="A20" t="s">
        <v>18</v>
      </c>
      <c r="B20" s="3">
        <v>4895.75</v>
      </c>
      <c r="C20" s="3">
        <v>3028.23</v>
      </c>
      <c r="D20" s="3">
        <f t="shared" si="0"/>
        <v>1867.52</v>
      </c>
      <c r="E20" t="s">
        <v>9</v>
      </c>
      <c r="F20" t="s">
        <v>12</v>
      </c>
      <c r="H20" t="s">
        <v>19</v>
      </c>
      <c r="I20" t="s">
        <v>8</v>
      </c>
      <c r="J20" s="5">
        <f t="shared" si="2"/>
        <v>171876.91</v>
      </c>
      <c r="K20" s="5">
        <f t="shared" si="3"/>
        <v>56581.770000000004</v>
      </c>
    </row>
    <row r="21" spans="1:17" x14ac:dyDescent="0.35">
      <c r="A21" t="s">
        <v>20</v>
      </c>
      <c r="B21" s="3">
        <v>19494.23</v>
      </c>
      <c r="C21" s="3">
        <v>12944.54</v>
      </c>
      <c r="D21" s="3">
        <f t="shared" si="0"/>
        <v>6549.6899999999987</v>
      </c>
      <c r="E21" t="s">
        <v>9</v>
      </c>
      <c r="F21" t="s">
        <v>12</v>
      </c>
      <c r="H21" t="s">
        <v>19</v>
      </c>
      <c r="I21" t="s">
        <v>9</v>
      </c>
      <c r="J21" s="5">
        <f t="shared" si="2"/>
        <v>197248.68000000002</v>
      </c>
      <c r="K21" s="5">
        <f t="shared" si="3"/>
        <v>58594.11</v>
      </c>
    </row>
    <row r="22" spans="1:17" x14ac:dyDescent="0.35">
      <c r="A22" t="s">
        <v>22</v>
      </c>
      <c r="B22" s="3">
        <v>2603.5500000000002</v>
      </c>
      <c r="C22" s="3">
        <v>1713.06</v>
      </c>
      <c r="D22" s="3">
        <f t="shared" si="0"/>
        <v>890.49000000000024</v>
      </c>
      <c r="E22" t="s">
        <v>9</v>
      </c>
      <c r="F22" t="s">
        <v>12</v>
      </c>
      <c r="H22" t="s">
        <v>19</v>
      </c>
      <c r="I22" t="s">
        <v>10</v>
      </c>
      <c r="J22" s="5">
        <f t="shared" si="2"/>
        <v>219902.77</v>
      </c>
      <c r="K22" s="5">
        <f t="shared" si="3"/>
        <v>67462.03</v>
      </c>
    </row>
    <row r="23" spans="1:17" x14ac:dyDescent="0.35">
      <c r="A23" t="s">
        <v>23</v>
      </c>
      <c r="B23" s="3">
        <v>1359.59</v>
      </c>
      <c r="C23" s="3">
        <v>1108.9000000000001</v>
      </c>
      <c r="D23" s="3">
        <f t="shared" si="0"/>
        <v>250.68999999999983</v>
      </c>
      <c r="E23" t="s">
        <v>9</v>
      </c>
      <c r="F23" t="s">
        <v>12</v>
      </c>
      <c r="H23" t="s">
        <v>21</v>
      </c>
      <c r="I23" t="s">
        <v>7</v>
      </c>
      <c r="J23" s="5">
        <f t="shared" si="2"/>
        <v>232321.68999999997</v>
      </c>
      <c r="K23" s="5">
        <f t="shared" si="3"/>
        <v>65562.599999999991</v>
      </c>
    </row>
    <row r="24" spans="1:17" x14ac:dyDescent="0.35">
      <c r="A24" t="s">
        <v>24</v>
      </c>
      <c r="B24" s="3">
        <v>26755.25</v>
      </c>
      <c r="C24" s="3">
        <v>21014.71</v>
      </c>
      <c r="D24" s="3">
        <f t="shared" si="0"/>
        <v>5740.5400000000009</v>
      </c>
      <c r="E24" t="s">
        <v>9</v>
      </c>
      <c r="F24" t="s">
        <v>12</v>
      </c>
      <c r="H24" t="s">
        <v>21</v>
      </c>
      <c r="I24" t="s">
        <v>8</v>
      </c>
      <c r="J24" s="5">
        <f t="shared" si="2"/>
        <v>228193.73</v>
      </c>
      <c r="K24" s="5">
        <f t="shared" si="3"/>
        <v>65575.079999999987</v>
      </c>
      <c r="M24" t="s">
        <v>5</v>
      </c>
      <c r="N24" t="s">
        <v>7</v>
      </c>
      <c r="O24" t="s">
        <v>8</v>
      </c>
      <c r="P24" t="s">
        <v>9</v>
      </c>
      <c r="Q24" t="s">
        <v>10</v>
      </c>
    </row>
    <row r="25" spans="1:17" x14ac:dyDescent="0.35">
      <c r="A25" t="s">
        <v>25</v>
      </c>
      <c r="B25" s="3">
        <v>13223.18</v>
      </c>
      <c r="C25" s="3">
        <v>10285.57</v>
      </c>
      <c r="D25" s="3">
        <f t="shared" si="0"/>
        <v>2937.6100000000006</v>
      </c>
      <c r="E25" t="s">
        <v>9</v>
      </c>
      <c r="F25" t="s">
        <v>12</v>
      </c>
      <c r="H25" t="s">
        <v>21</v>
      </c>
      <c r="I25" t="s">
        <v>9</v>
      </c>
      <c r="J25" s="5">
        <f t="shared" si="2"/>
        <v>203115.31000000003</v>
      </c>
      <c r="K25" s="5">
        <f t="shared" si="3"/>
        <v>48374.020000000004</v>
      </c>
      <c r="M25" t="s">
        <v>12</v>
      </c>
      <c r="N25">
        <f t="shared" ref="N25:Q28" si="4">SUMIFS($D$2:$D$129,$F$2:$F$129,$M25,$E$2:$E$129,N$24)</f>
        <v>50009.100000000006</v>
      </c>
      <c r="O25">
        <f t="shared" si="4"/>
        <v>48014.48</v>
      </c>
      <c r="P25">
        <f t="shared" si="4"/>
        <v>46040.260000000009</v>
      </c>
      <c r="Q25">
        <f t="shared" si="4"/>
        <v>50022.3</v>
      </c>
    </row>
    <row r="26" spans="1:17" x14ac:dyDescent="0.35">
      <c r="A26" t="s">
        <v>11</v>
      </c>
      <c r="B26" s="3">
        <v>59827.040000000001</v>
      </c>
      <c r="C26" s="3">
        <v>43048.84</v>
      </c>
      <c r="D26" s="3">
        <f t="shared" si="0"/>
        <v>16778.200000000004</v>
      </c>
      <c r="E26" t="s">
        <v>10</v>
      </c>
      <c r="F26" t="s">
        <v>12</v>
      </c>
      <c r="H26" t="s">
        <v>21</v>
      </c>
      <c r="I26" t="s">
        <v>10</v>
      </c>
      <c r="J26" s="5">
        <f t="shared" si="2"/>
        <v>269768.8</v>
      </c>
      <c r="K26" s="5">
        <f t="shared" si="3"/>
        <v>70513.739999999991</v>
      </c>
      <c r="M26" t="s">
        <v>17</v>
      </c>
      <c r="N26">
        <f t="shared" si="4"/>
        <v>51658.60000000002</v>
      </c>
      <c r="O26">
        <f t="shared" si="4"/>
        <v>47124.179999999986</v>
      </c>
      <c r="P26">
        <f t="shared" si="4"/>
        <v>58961.999999999993</v>
      </c>
      <c r="Q26">
        <f t="shared" si="4"/>
        <v>51869.85</v>
      </c>
    </row>
    <row r="27" spans="1:17" x14ac:dyDescent="0.35">
      <c r="A27" t="s">
        <v>16</v>
      </c>
      <c r="B27" s="3">
        <v>47486.9</v>
      </c>
      <c r="C27" s="3">
        <v>31163.200000000001</v>
      </c>
      <c r="D27" s="3">
        <f t="shared" si="0"/>
        <v>16323.7</v>
      </c>
      <c r="E27" t="s">
        <v>10</v>
      </c>
      <c r="F27" t="s">
        <v>12</v>
      </c>
      <c r="M27" t="s">
        <v>19</v>
      </c>
      <c r="N27">
        <f t="shared" si="4"/>
        <v>69564.590000000011</v>
      </c>
      <c r="O27">
        <f t="shared" si="4"/>
        <v>56581.770000000004</v>
      </c>
      <c r="P27">
        <f t="shared" si="4"/>
        <v>58594.11</v>
      </c>
      <c r="Q27">
        <f t="shared" si="4"/>
        <v>67462.03</v>
      </c>
    </row>
    <row r="28" spans="1:17" x14ac:dyDescent="0.35">
      <c r="A28" t="s">
        <v>18</v>
      </c>
      <c r="B28" s="3">
        <v>7671.72</v>
      </c>
      <c r="C28" s="3">
        <v>6245.84</v>
      </c>
      <c r="D28" s="3">
        <f t="shared" si="0"/>
        <v>1425.88</v>
      </c>
      <c r="E28" t="s">
        <v>10</v>
      </c>
      <c r="F28" t="s">
        <v>12</v>
      </c>
      <c r="M28" t="s">
        <v>21</v>
      </c>
      <c r="N28">
        <f t="shared" si="4"/>
        <v>65562.599999999991</v>
      </c>
      <c r="O28">
        <f t="shared" si="4"/>
        <v>65575.079999999987</v>
      </c>
      <c r="P28">
        <f t="shared" si="4"/>
        <v>48374.020000000004</v>
      </c>
      <c r="Q28">
        <f t="shared" si="4"/>
        <v>70513.739999999991</v>
      </c>
    </row>
    <row r="29" spans="1:17" x14ac:dyDescent="0.35">
      <c r="A29" t="s">
        <v>20</v>
      </c>
      <c r="B29" s="3">
        <v>16473.669999999998</v>
      </c>
      <c r="C29" s="3">
        <v>11432.74</v>
      </c>
      <c r="D29" s="3">
        <f t="shared" si="0"/>
        <v>5040.9299999999985</v>
      </c>
      <c r="E29" t="s">
        <v>10</v>
      </c>
      <c r="F29" t="s">
        <v>12</v>
      </c>
    </row>
    <row r="30" spans="1:17" x14ac:dyDescent="0.35">
      <c r="A30" t="s">
        <v>22</v>
      </c>
      <c r="B30" s="3">
        <v>2341.84</v>
      </c>
      <c r="C30" s="3">
        <v>1636.31</v>
      </c>
      <c r="D30" s="3">
        <f t="shared" si="0"/>
        <v>705.5300000000002</v>
      </c>
      <c r="E30" t="s">
        <v>10</v>
      </c>
      <c r="F30" t="s">
        <v>12</v>
      </c>
    </row>
    <row r="31" spans="1:17" x14ac:dyDescent="0.35">
      <c r="A31" t="s">
        <v>23</v>
      </c>
      <c r="B31" s="3">
        <v>1460.71</v>
      </c>
      <c r="C31" s="3">
        <v>1020.91</v>
      </c>
      <c r="D31" s="3">
        <f t="shared" si="0"/>
        <v>439.80000000000007</v>
      </c>
      <c r="E31" t="s">
        <v>10</v>
      </c>
      <c r="F31" t="s">
        <v>12</v>
      </c>
    </row>
    <row r="32" spans="1:17" x14ac:dyDescent="0.35">
      <c r="A32" t="s">
        <v>24</v>
      </c>
      <c r="B32" s="3">
        <v>18658.91</v>
      </c>
      <c r="C32" s="3">
        <v>11782.18</v>
      </c>
      <c r="D32" s="3">
        <f t="shared" si="0"/>
        <v>6876.73</v>
      </c>
      <c r="E32" t="s">
        <v>10</v>
      </c>
      <c r="F32" t="s">
        <v>12</v>
      </c>
    </row>
    <row r="33" spans="1:6" x14ac:dyDescent="0.35">
      <c r="A33" t="s">
        <v>25</v>
      </c>
      <c r="B33" s="3">
        <v>15041.91</v>
      </c>
      <c r="C33" s="3">
        <v>12610.38</v>
      </c>
      <c r="D33" s="3">
        <f t="shared" si="0"/>
        <v>2431.5300000000007</v>
      </c>
      <c r="E33" t="s">
        <v>10</v>
      </c>
      <c r="F33" t="s">
        <v>12</v>
      </c>
    </row>
    <row r="34" spans="1:6" x14ac:dyDescent="0.35">
      <c r="A34" t="s">
        <v>11</v>
      </c>
      <c r="B34" s="3">
        <v>82970.02</v>
      </c>
      <c r="C34" s="3">
        <v>59991.81</v>
      </c>
      <c r="D34" s="3">
        <f t="shared" ref="D34:D65" si="5">B34-C34</f>
        <v>22978.210000000006</v>
      </c>
      <c r="E34" t="s">
        <v>7</v>
      </c>
      <c r="F34" t="s">
        <v>17</v>
      </c>
    </row>
    <row r="35" spans="1:6" x14ac:dyDescent="0.35">
      <c r="A35" t="s">
        <v>16</v>
      </c>
      <c r="B35" s="3">
        <v>45983.55</v>
      </c>
      <c r="C35" s="3">
        <v>35962.839999999997</v>
      </c>
      <c r="D35" s="3">
        <f t="shared" si="5"/>
        <v>10020.710000000006</v>
      </c>
      <c r="E35" t="s">
        <v>7</v>
      </c>
      <c r="F35" t="s">
        <v>17</v>
      </c>
    </row>
    <row r="36" spans="1:6" x14ac:dyDescent="0.35">
      <c r="A36" t="s">
        <v>18</v>
      </c>
      <c r="B36" s="3">
        <v>5895.52</v>
      </c>
      <c r="C36" s="3">
        <v>4421.92</v>
      </c>
      <c r="D36" s="3">
        <f t="shared" si="5"/>
        <v>1473.6000000000004</v>
      </c>
      <c r="E36" t="s">
        <v>7</v>
      </c>
      <c r="F36" t="s">
        <v>17</v>
      </c>
    </row>
    <row r="37" spans="1:6" x14ac:dyDescent="0.35">
      <c r="A37" t="s">
        <v>20</v>
      </c>
      <c r="B37" s="3">
        <v>19769.59</v>
      </c>
      <c r="C37" s="3">
        <v>14890.52</v>
      </c>
      <c r="D37" s="3">
        <f t="shared" si="5"/>
        <v>4879.07</v>
      </c>
      <c r="E37" t="s">
        <v>7</v>
      </c>
      <c r="F37" t="s">
        <v>17</v>
      </c>
    </row>
    <row r="38" spans="1:6" x14ac:dyDescent="0.35">
      <c r="A38" t="s">
        <v>22</v>
      </c>
      <c r="B38" s="3">
        <v>2208.37</v>
      </c>
      <c r="C38" s="3">
        <v>1433.5</v>
      </c>
      <c r="D38" s="3">
        <f t="shared" si="5"/>
        <v>774.86999999999989</v>
      </c>
      <c r="E38" t="s">
        <v>7</v>
      </c>
      <c r="F38" t="s">
        <v>17</v>
      </c>
    </row>
    <row r="39" spans="1:6" x14ac:dyDescent="0.35">
      <c r="A39" t="s">
        <v>23</v>
      </c>
      <c r="B39" s="3">
        <v>1175.01</v>
      </c>
      <c r="C39" s="3">
        <v>967.3</v>
      </c>
      <c r="D39" s="3">
        <f t="shared" si="5"/>
        <v>207.71000000000004</v>
      </c>
      <c r="E39" t="s">
        <v>7</v>
      </c>
      <c r="F39" t="s">
        <v>17</v>
      </c>
    </row>
    <row r="40" spans="1:6" x14ac:dyDescent="0.35">
      <c r="A40" t="s">
        <v>24</v>
      </c>
      <c r="B40" s="3">
        <v>25434.83</v>
      </c>
      <c r="C40" s="3">
        <v>19009.09</v>
      </c>
      <c r="D40" s="3">
        <f t="shared" si="5"/>
        <v>6425.7400000000016</v>
      </c>
      <c r="E40" t="s">
        <v>7</v>
      </c>
      <c r="F40" t="s">
        <v>17</v>
      </c>
    </row>
    <row r="41" spans="1:6" x14ac:dyDescent="0.35">
      <c r="A41" t="s">
        <v>25</v>
      </c>
      <c r="B41" s="3">
        <v>13375.36</v>
      </c>
      <c r="C41" s="3">
        <v>8476.67</v>
      </c>
      <c r="D41" s="3">
        <f t="shared" si="5"/>
        <v>4898.6900000000005</v>
      </c>
      <c r="E41" t="s">
        <v>7</v>
      </c>
      <c r="F41" t="s">
        <v>17</v>
      </c>
    </row>
    <row r="42" spans="1:6" x14ac:dyDescent="0.35">
      <c r="A42" t="s">
        <v>11</v>
      </c>
      <c r="B42" s="3">
        <v>61316.13</v>
      </c>
      <c r="C42" s="3">
        <v>48878.16</v>
      </c>
      <c r="D42" s="3">
        <f t="shared" si="5"/>
        <v>12437.969999999994</v>
      </c>
      <c r="E42" t="s">
        <v>8</v>
      </c>
      <c r="F42" t="s">
        <v>17</v>
      </c>
    </row>
    <row r="43" spans="1:6" x14ac:dyDescent="0.35">
      <c r="A43" t="s">
        <v>16</v>
      </c>
      <c r="B43" s="3">
        <v>49449.13</v>
      </c>
      <c r="C43" s="3">
        <v>34427.54</v>
      </c>
      <c r="D43" s="3">
        <f t="shared" si="5"/>
        <v>15021.589999999997</v>
      </c>
      <c r="E43" t="s">
        <v>8</v>
      </c>
      <c r="F43" t="s">
        <v>17</v>
      </c>
    </row>
    <row r="44" spans="1:6" x14ac:dyDescent="0.35">
      <c r="A44" t="s">
        <v>18</v>
      </c>
      <c r="B44" s="3">
        <v>7317.98</v>
      </c>
      <c r="C44" s="3">
        <v>5601.6</v>
      </c>
      <c r="D44" s="3">
        <f t="shared" si="5"/>
        <v>1716.3799999999992</v>
      </c>
      <c r="E44" t="s">
        <v>8</v>
      </c>
      <c r="F44" t="s">
        <v>17</v>
      </c>
    </row>
    <row r="45" spans="1:6" x14ac:dyDescent="0.35">
      <c r="A45" t="s">
        <v>20</v>
      </c>
      <c r="B45" s="3">
        <v>22397.11</v>
      </c>
      <c r="C45" s="3">
        <v>18598.66</v>
      </c>
      <c r="D45" s="3">
        <f t="shared" si="5"/>
        <v>3798.4500000000007</v>
      </c>
      <c r="E45" t="s">
        <v>8</v>
      </c>
      <c r="F45" t="s">
        <v>17</v>
      </c>
    </row>
    <row r="46" spans="1:6" x14ac:dyDescent="0.35">
      <c r="A46" t="s">
        <v>22</v>
      </c>
      <c r="B46" s="3">
        <v>2434.65</v>
      </c>
      <c r="C46" s="3">
        <v>2039.01</v>
      </c>
      <c r="D46" s="3">
        <f t="shared" si="5"/>
        <v>395.6400000000001</v>
      </c>
      <c r="E46" t="s">
        <v>8</v>
      </c>
      <c r="F46" t="s">
        <v>17</v>
      </c>
    </row>
    <row r="47" spans="1:6" x14ac:dyDescent="0.35">
      <c r="A47" t="s">
        <v>23</v>
      </c>
      <c r="B47" s="3">
        <v>1534.54</v>
      </c>
      <c r="C47" s="3">
        <v>1144.49</v>
      </c>
      <c r="D47" s="3">
        <f t="shared" si="5"/>
        <v>390.04999999999995</v>
      </c>
      <c r="E47" t="s">
        <v>8</v>
      </c>
      <c r="F47" t="s">
        <v>17</v>
      </c>
    </row>
    <row r="48" spans="1:6" x14ac:dyDescent="0.35">
      <c r="A48" t="s">
        <v>24</v>
      </c>
      <c r="B48" s="3">
        <v>32129.33</v>
      </c>
      <c r="C48" s="3">
        <v>23226.61</v>
      </c>
      <c r="D48" s="3">
        <f t="shared" si="5"/>
        <v>8902.7200000000012</v>
      </c>
      <c r="E48" t="s">
        <v>8</v>
      </c>
      <c r="F48" t="s">
        <v>17</v>
      </c>
    </row>
    <row r="49" spans="1:6" x14ac:dyDescent="0.35">
      <c r="A49" t="s">
        <v>25</v>
      </c>
      <c r="B49" s="3">
        <v>13391.81</v>
      </c>
      <c r="C49" s="3">
        <v>8930.43</v>
      </c>
      <c r="D49" s="3">
        <f t="shared" si="5"/>
        <v>4461.3799999999992</v>
      </c>
      <c r="E49" t="s">
        <v>8</v>
      </c>
      <c r="F49" t="s">
        <v>17</v>
      </c>
    </row>
    <row r="50" spans="1:6" x14ac:dyDescent="0.35">
      <c r="A50" t="s">
        <v>11</v>
      </c>
      <c r="B50" s="3">
        <v>92243.14</v>
      </c>
      <c r="C50" s="3">
        <v>59711.5</v>
      </c>
      <c r="D50" s="3">
        <f t="shared" si="5"/>
        <v>32531.64</v>
      </c>
      <c r="E50" t="s">
        <v>9</v>
      </c>
      <c r="F50" t="s">
        <v>17</v>
      </c>
    </row>
    <row r="51" spans="1:6" x14ac:dyDescent="0.35">
      <c r="A51" t="s">
        <v>16</v>
      </c>
      <c r="B51" s="3">
        <v>31777.58</v>
      </c>
      <c r="C51" s="3">
        <v>25270</v>
      </c>
      <c r="D51" s="3">
        <f t="shared" si="5"/>
        <v>6507.5800000000017</v>
      </c>
      <c r="E51" t="s">
        <v>9</v>
      </c>
      <c r="F51" t="s">
        <v>17</v>
      </c>
    </row>
    <row r="52" spans="1:6" x14ac:dyDescent="0.35">
      <c r="A52" t="s">
        <v>18</v>
      </c>
      <c r="B52" s="3">
        <v>7336.08</v>
      </c>
      <c r="C52" s="3">
        <v>5290.27</v>
      </c>
      <c r="D52" s="3">
        <f t="shared" si="5"/>
        <v>2045.8099999999995</v>
      </c>
      <c r="E52" t="s">
        <v>9</v>
      </c>
      <c r="F52" t="s">
        <v>17</v>
      </c>
    </row>
    <row r="53" spans="1:6" x14ac:dyDescent="0.35">
      <c r="A53" t="s">
        <v>20</v>
      </c>
      <c r="B53" s="3">
        <v>20914.84</v>
      </c>
      <c r="C53" s="3">
        <v>13009.03</v>
      </c>
      <c r="D53" s="3">
        <f t="shared" si="5"/>
        <v>7905.8099999999995</v>
      </c>
      <c r="E53" t="s">
        <v>9</v>
      </c>
      <c r="F53" t="s">
        <v>17</v>
      </c>
    </row>
    <row r="54" spans="1:6" x14ac:dyDescent="0.35">
      <c r="A54" t="s">
        <v>22</v>
      </c>
      <c r="B54" s="3">
        <v>2140.5300000000002</v>
      </c>
      <c r="C54" s="3">
        <v>1448.43</v>
      </c>
      <c r="D54" s="3">
        <f t="shared" si="5"/>
        <v>692.10000000000014</v>
      </c>
      <c r="E54" t="s">
        <v>9</v>
      </c>
      <c r="F54" t="s">
        <v>17</v>
      </c>
    </row>
    <row r="55" spans="1:6" x14ac:dyDescent="0.35">
      <c r="A55" t="s">
        <v>23</v>
      </c>
      <c r="B55" s="3">
        <v>1129.83</v>
      </c>
      <c r="C55" s="3">
        <v>733.54</v>
      </c>
      <c r="D55" s="3">
        <f t="shared" si="5"/>
        <v>396.28999999999996</v>
      </c>
      <c r="E55" t="s">
        <v>9</v>
      </c>
      <c r="F55" t="s">
        <v>17</v>
      </c>
    </row>
    <row r="56" spans="1:6" x14ac:dyDescent="0.35">
      <c r="A56" t="s">
        <v>24</v>
      </c>
      <c r="B56" s="3">
        <v>19673.43</v>
      </c>
      <c r="C56" s="3">
        <v>13530.58</v>
      </c>
      <c r="D56" s="3">
        <f t="shared" si="5"/>
        <v>6142.85</v>
      </c>
      <c r="E56" t="s">
        <v>9</v>
      </c>
      <c r="F56" t="s">
        <v>17</v>
      </c>
    </row>
    <row r="57" spans="1:6" x14ac:dyDescent="0.35">
      <c r="A57" t="s">
        <v>25</v>
      </c>
      <c r="B57" s="3">
        <v>16726.48</v>
      </c>
      <c r="C57" s="3">
        <v>13986.56</v>
      </c>
      <c r="D57" s="3">
        <f t="shared" si="5"/>
        <v>2739.92</v>
      </c>
      <c r="E57" t="s">
        <v>9</v>
      </c>
      <c r="F57" t="s">
        <v>17</v>
      </c>
    </row>
    <row r="58" spans="1:6" x14ac:dyDescent="0.35">
      <c r="A58" t="s">
        <v>11</v>
      </c>
      <c r="B58" s="3">
        <v>92306.8</v>
      </c>
      <c r="C58" s="3">
        <v>66476.02</v>
      </c>
      <c r="D58" s="3">
        <f t="shared" si="5"/>
        <v>25830.78</v>
      </c>
      <c r="E58" t="s">
        <v>10</v>
      </c>
      <c r="F58" t="s">
        <v>17</v>
      </c>
    </row>
    <row r="59" spans="1:6" x14ac:dyDescent="0.35">
      <c r="A59" t="s">
        <v>16</v>
      </c>
      <c r="B59" s="3">
        <v>38072.69</v>
      </c>
      <c r="C59" s="3">
        <v>31620.959999999999</v>
      </c>
      <c r="D59" s="3">
        <f t="shared" si="5"/>
        <v>6451.7300000000032</v>
      </c>
      <c r="E59" t="s">
        <v>10</v>
      </c>
      <c r="F59" t="s">
        <v>17</v>
      </c>
    </row>
    <row r="60" spans="1:6" x14ac:dyDescent="0.35">
      <c r="A60" t="s">
        <v>18</v>
      </c>
      <c r="B60" s="3">
        <v>6889.2</v>
      </c>
      <c r="C60" s="3">
        <v>5356.9</v>
      </c>
      <c r="D60" s="3">
        <f t="shared" si="5"/>
        <v>1532.3000000000002</v>
      </c>
      <c r="E60" t="s">
        <v>10</v>
      </c>
      <c r="F60" t="s">
        <v>17</v>
      </c>
    </row>
    <row r="61" spans="1:6" x14ac:dyDescent="0.35">
      <c r="A61" t="s">
        <v>20</v>
      </c>
      <c r="B61" s="3">
        <v>14055.77</v>
      </c>
      <c r="C61" s="3">
        <v>9259.67</v>
      </c>
      <c r="D61" s="3">
        <f t="shared" si="5"/>
        <v>4796.1000000000004</v>
      </c>
      <c r="E61" t="s">
        <v>10</v>
      </c>
      <c r="F61" t="s">
        <v>17</v>
      </c>
    </row>
    <row r="62" spans="1:6" x14ac:dyDescent="0.35">
      <c r="A62" t="s">
        <v>22</v>
      </c>
      <c r="B62" s="3">
        <v>3088.16</v>
      </c>
      <c r="C62" s="3">
        <v>2448.6</v>
      </c>
      <c r="D62" s="3">
        <f t="shared" si="5"/>
        <v>639.55999999999995</v>
      </c>
      <c r="E62" t="s">
        <v>10</v>
      </c>
      <c r="F62" t="s">
        <v>17</v>
      </c>
    </row>
    <row r="63" spans="1:6" x14ac:dyDescent="0.35">
      <c r="A63" t="s">
        <v>23</v>
      </c>
      <c r="B63" s="3">
        <v>1511.39</v>
      </c>
      <c r="C63" s="3">
        <v>1130.99</v>
      </c>
      <c r="D63" s="3">
        <f t="shared" si="5"/>
        <v>380.40000000000009</v>
      </c>
      <c r="E63" t="s">
        <v>10</v>
      </c>
      <c r="F63" t="s">
        <v>17</v>
      </c>
    </row>
    <row r="64" spans="1:6" x14ac:dyDescent="0.35">
      <c r="A64" t="s">
        <v>24</v>
      </c>
      <c r="B64" s="3">
        <v>26104.84</v>
      </c>
      <c r="C64" s="3">
        <v>19413.18</v>
      </c>
      <c r="D64" s="3">
        <f t="shared" si="5"/>
        <v>6691.66</v>
      </c>
      <c r="E64" t="s">
        <v>10</v>
      </c>
      <c r="F64" t="s">
        <v>17</v>
      </c>
    </row>
    <row r="65" spans="1:6" x14ac:dyDescent="0.35">
      <c r="A65" t="s">
        <v>25</v>
      </c>
      <c r="B65" s="3">
        <v>17380.73</v>
      </c>
      <c r="C65" s="3">
        <v>11833.41</v>
      </c>
      <c r="D65" s="3">
        <f t="shared" si="5"/>
        <v>5547.32</v>
      </c>
      <c r="E65" t="s">
        <v>10</v>
      </c>
      <c r="F65" t="s">
        <v>17</v>
      </c>
    </row>
    <row r="66" spans="1:6" x14ac:dyDescent="0.35">
      <c r="A66" t="s">
        <v>11</v>
      </c>
      <c r="B66" s="3">
        <v>91454.27</v>
      </c>
      <c r="C66" s="3">
        <v>61592.24</v>
      </c>
      <c r="D66" s="3">
        <f t="shared" ref="D66:D97" si="6">B66-C66</f>
        <v>29862.030000000006</v>
      </c>
      <c r="E66" t="s">
        <v>7</v>
      </c>
      <c r="F66" t="s">
        <v>19</v>
      </c>
    </row>
    <row r="67" spans="1:6" x14ac:dyDescent="0.35">
      <c r="A67" t="s">
        <v>16</v>
      </c>
      <c r="B67" s="3">
        <v>55313.9</v>
      </c>
      <c r="C67" s="3">
        <v>33871.67</v>
      </c>
      <c r="D67" s="3">
        <f t="shared" si="6"/>
        <v>21442.230000000003</v>
      </c>
      <c r="E67" t="s">
        <v>7</v>
      </c>
      <c r="F67" t="s">
        <v>19</v>
      </c>
    </row>
    <row r="68" spans="1:6" x14ac:dyDescent="0.35">
      <c r="A68" t="s">
        <v>18</v>
      </c>
      <c r="B68" s="3">
        <v>8227.3799999999992</v>
      </c>
      <c r="C68" s="3">
        <v>6823.91</v>
      </c>
      <c r="D68" s="3">
        <f t="shared" si="6"/>
        <v>1403.4699999999993</v>
      </c>
      <c r="E68" t="s">
        <v>7</v>
      </c>
      <c r="F68" t="s">
        <v>19</v>
      </c>
    </row>
    <row r="69" spans="1:6" x14ac:dyDescent="0.35">
      <c r="A69" t="s">
        <v>20</v>
      </c>
      <c r="B69" s="3">
        <v>15424.52</v>
      </c>
      <c r="C69" s="3">
        <v>11515.14</v>
      </c>
      <c r="D69" s="3">
        <f t="shared" si="6"/>
        <v>3909.380000000001</v>
      </c>
      <c r="E69" t="s">
        <v>7</v>
      </c>
      <c r="F69" t="s">
        <v>19</v>
      </c>
    </row>
    <row r="70" spans="1:6" x14ac:dyDescent="0.35">
      <c r="A70" t="s">
        <v>22</v>
      </c>
      <c r="B70" s="3">
        <v>3100.38</v>
      </c>
      <c r="C70" s="3">
        <v>2498.56</v>
      </c>
      <c r="D70" s="3">
        <f t="shared" si="6"/>
        <v>601.82000000000016</v>
      </c>
      <c r="E70" t="s">
        <v>7</v>
      </c>
      <c r="F70" t="s">
        <v>19</v>
      </c>
    </row>
    <row r="71" spans="1:6" x14ac:dyDescent="0.35">
      <c r="A71" t="s">
        <v>23</v>
      </c>
      <c r="B71" s="3">
        <v>1444.06</v>
      </c>
      <c r="C71" s="3">
        <v>966.3</v>
      </c>
      <c r="D71" s="3">
        <f t="shared" si="6"/>
        <v>477.76</v>
      </c>
      <c r="E71" t="s">
        <v>7</v>
      </c>
      <c r="F71" t="s">
        <v>19</v>
      </c>
    </row>
    <row r="72" spans="1:6" x14ac:dyDescent="0.35">
      <c r="A72" t="s">
        <v>24</v>
      </c>
      <c r="B72" s="3">
        <v>28417.15</v>
      </c>
      <c r="C72" s="3">
        <v>23600.560000000001</v>
      </c>
      <c r="D72" s="3">
        <f t="shared" si="6"/>
        <v>4816.59</v>
      </c>
      <c r="E72" t="s">
        <v>7</v>
      </c>
      <c r="F72" t="s">
        <v>19</v>
      </c>
    </row>
    <row r="73" spans="1:6" x14ac:dyDescent="0.35">
      <c r="A73" t="s">
        <v>25</v>
      </c>
      <c r="B73" s="3">
        <v>19625.87</v>
      </c>
      <c r="C73" s="3">
        <v>12574.56</v>
      </c>
      <c r="D73" s="3">
        <f t="shared" si="6"/>
        <v>7051.3099999999995</v>
      </c>
      <c r="E73" t="s">
        <v>7</v>
      </c>
      <c r="F73" t="s">
        <v>19</v>
      </c>
    </row>
    <row r="74" spans="1:6" x14ac:dyDescent="0.35">
      <c r="A74" t="s">
        <v>11</v>
      </c>
      <c r="B74" s="3">
        <v>67574.09</v>
      </c>
      <c r="C74" s="3">
        <v>42680.2</v>
      </c>
      <c r="D74" s="3">
        <f t="shared" si="6"/>
        <v>24893.89</v>
      </c>
      <c r="E74" t="s">
        <v>8</v>
      </c>
      <c r="F74" t="s">
        <v>19</v>
      </c>
    </row>
    <row r="75" spans="1:6" x14ac:dyDescent="0.35">
      <c r="A75" t="s">
        <v>16</v>
      </c>
      <c r="B75" s="3">
        <v>34651.61</v>
      </c>
      <c r="C75" s="3">
        <v>24698.86</v>
      </c>
      <c r="D75" s="3">
        <f t="shared" si="6"/>
        <v>9952.75</v>
      </c>
      <c r="E75" t="s">
        <v>8</v>
      </c>
      <c r="F75" t="s">
        <v>19</v>
      </c>
    </row>
    <row r="76" spans="1:6" x14ac:dyDescent="0.35">
      <c r="A76" t="s">
        <v>18</v>
      </c>
      <c r="B76" s="3">
        <v>5808.73</v>
      </c>
      <c r="C76" s="3">
        <v>4702.09</v>
      </c>
      <c r="D76" s="3">
        <f t="shared" si="6"/>
        <v>1106.6399999999994</v>
      </c>
      <c r="E76" t="s">
        <v>8</v>
      </c>
      <c r="F76" t="s">
        <v>19</v>
      </c>
    </row>
    <row r="77" spans="1:6" x14ac:dyDescent="0.35">
      <c r="A77" t="s">
        <v>20</v>
      </c>
      <c r="B77" s="3">
        <v>21586.720000000001</v>
      </c>
      <c r="C77" s="3">
        <v>13796.1</v>
      </c>
      <c r="D77" s="3">
        <f t="shared" si="6"/>
        <v>7790.6200000000008</v>
      </c>
      <c r="E77" t="s">
        <v>8</v>
      </c>
      <c r="F77" t="s">
        <v>19</v>
      </c>
    </row>
    <row r="78" spans="1:6" x14ac:dyDescent="0.35">
      <c r="A78" t="s">
        <v>22</v>
      </c>
      <c r="B78" s="3">
        <v>2824.91</v>
      </c>
      <c r="C78" s="3">
        <v>1933.89</v>
      </c>
      <c r="D78" s="3">
        <f t="shared" si="6"/>
        <v>891.01999999999975</v>
      </c>
      <c r="E78" t="s">
        <v>8</v>
      </c>
      <c r="F78" t="s">
        <v>19</v>
      </c>
    </row>
    <row r="79" spans="1:6" x14ac:dyDescent="0.35">
      <c r="A79" t="s">
        <v>23</v>
      </c>
      <c r="B79" s="3">
        <v>1324.03</v>
      </c>
      <c r="C79" s="3">
        <v>874.53</v>
      </c>
      <c r="D79" s="3">
        <f t="shared" si="6"/>
        <v>449.5</v>
      </c>
      <c r="E79" t="s">
        <v>8</v>
      </c>
      <c r="F79" t="s">
        <v>19</v>
      </c>
    </row>
    <row r="80" spans="1:6" x14ac:dyDescent="0.35">
      <c r="A80" t="s">
        <v>24</v>
      </c>
      <c r="B80" s="3">
        <v>23624.95</v>
      </c>
      <c r="C80" s="3">
        <v>15410.72</v>
      </c>
      <c r="D80" s="3">
        <f t="shared" si="6"/>
        <v>8214.2300000000014</v>
      </c>
      <c r="E80" t="s">
        <v>8</v>
      </c>
      <c r="F80" t="s">
        <v>19</v>
      </c>
    </row>
    <row r="81" spans="1:6" x14ac:dyDescent="0.35">
      <c r="A81" t="s">
        <v>25</v>
      </c>
      <c r="B81" s="3">
        <v>14481.87</v>
      </c>
      <c r="C81" s="3">
        <v>11198.75</v>
      </c>
      <c r="D81" s="3">
        <f t="shared" si="6"/>
        <v>3283.1200000000008</v>
      </c>
      <c r="E81" t="s">
        <v>8</v>
      </c>
      <c r="F81" t="s">
        <v>19</v>
      </c>
    </row>
    <row r="82" spans="1:6" x14ac:dyDescent="0.35">
      <c r="A82" t="s">
        <v>11</v>
      </c>
      <c r="B82" s="3">
        <v>85117.7</v>
      </c>
      <c r="C82" s="3">
        <v>52825.89</v>
      </c>
      <c r="D82" s="3">
        <f t="shared" si="6"/>
        <v>32291.809999999998</v>
      </c>
      <c r="E82" t="s">
        <v>9</v>
      </c>
      <c r="F82" t="s">
        <v>19</v>
      </c>
    </row>
    <row r="83" spans="1:6" x14ac:dyDescent="0.35">
      <c r="A83" t="s">
        <v>16</v>
      </c>
      <c r="B83" s="3">
        <v>49684.74</v>
      </c>
      <c r="C83" s="3">
        <v>40293.82</v>
      </c>
      <c r="D83" s="3">
        <f t="shared" si="6"/>
        <v>9390.9199999999983</v>
      </c>
      <c r="E83" t="s">
        <v>9</v>
      </c>
      <c r="F83" t="s">
        <v>19</v>
      </c>
    </row>
    <row r="84" spans="1:6" x14ac:dyDescent="0.35">
      <c r="A84" t="s">
        <v>18</v>
      </c>
      <c r="B84" s="3">
        <v>7924.2</v>
      </c>
      <c r="C84" s="3">
        <v>6274.91</v>
      </c>
      <c r="D84" s="3">
        <f t="shared" si="6"/>
        <v>1649.29</v>
      </c>
      <c r="E84" t="s">
        <v>9</v>
      </c>
      <c r="F84" t="s">
        <v>19</v>
      </c>
    </row>
    <row r="85" spans="1:6" x14ac:dyDescent="0.35">
      <c r="A85" t="s">
        <v>20</v>
      </c>
      <c r="B85" s="3">
        <v>14077.1</v>
      </c>
      <c r="C85" s="3">
        <v>10088.950000000001</v>
      </c>
      <c r="D85" s="3">
        <f t="shared" si="6"/>
        <v>3988.1499999999996</v>
      </c>
      <c r="E85" t="s">
        <v>9</v>
      </c>
      <c r="F85" t="s">
        <v>19</v>
      </c>
    </row>
    <row r="86" spans="1:6" x14ac:dyDescent="0.35">
      <c r="A86" t="s">
        <v>22</v>
      </c>
      <c r="B86" s="3">
        <v>2034.51</v>
      </c>
      <c r="C86" s="3">
        <v>1598.52</v>
      </c>
      <c r="D86" s="3">
        <f t="shared" si="6"/>
        <v>435.99</v>
      </c>
      <c r="E86" t="s">
        <v>9</v>
      </c>
      <c r="F86" t="s">
        <v>19</v>
      </c>
    </row>
    <row r="87" spans="1:6" x14ac:dyDescent="0.35">
      <c r="A87" t="s">
        <v>23</v>
      </c>
      <c r="B87" s="3">
        <v>1053.07</v>
      </c>
      <c r="C87" s="3">
        <v>814.7</v>
      </c>
      <c r="D87" s="3">
        <f t="shared" si="6"/>
        <v>238.36999999999989</v>
      </c>
      <c r="E87" t="s">
        <v>9</v>
      </c>
      <c r="F87" t="s">
        <v>19</v>
      </c>
    </row>
    <row r="88" spans="1:6" x14ac:dyDescent="0.35">
      <c r="A88" t="s">
        <v>24</v>
      </c>
      <c r="B88" s="3">
        <v>23967.24</v>
      </c>
      <c r="C88" s="3">
        <v>18460.73</v>
      </c>
      <c r="D88" s="3">
        <f t="shared" si="6"/>
        <v>5506.510000000002</v>
      </c>
      <c r="E88" t="s">
        <v>9</v>
      </c>
      <c r="F88" t="s">
        <v>19</v>
      </c>
    </row>
    <row r="89" spans="1:6" x14ac:dyDescent="0.35">
      <c r="A89" t="s">
        <v>25</v>
      </c>
      <c r="B89" s="3">
        <v>13390.12</v>
      </c>
      <c r="C89" s="3">
        <v>8297.0499999999993</v>
      </c>
      <c r="D89" s="3">
        <f t="shared" si="6"/>
        <v>5093.0700000000015</v>
      </c>
      <c r="E89" t="s">
        <v>9</v>
      </c>
      <c r="F89" t="s">
        <v>19</v>
      </c>
    </row>
    <row r="90" spans="1:6" x14ac:dyDescent="0.35">
      <c r="A90" t="s">
        <v>11</v>
      </c>
      <c r="B90" s="3">
        <v>82821.119999999995</v>
      </c>
      <c r="C90" s="3">
        <v>56414.82</v>
      </c>
      <c r="D90" s="3">
        <f t="shared" si="6"/>
        <v>26406.299999999996</v>
      </c>
      <c r="E90" t="s">
        <v>10</v>
      </c>
      <c r="F90" t="s">
        <v>19</v>
      </c>
    </row>
    <row r="91" spans="1:6" x14ac:dyDescent="0.35">
      <c r="A91" t="s">
        <v>16</v>
      </c>
      <c r="B91" s="3">
        <v>57621.86</v>
      </c>
      <c r="C91" s="3">
        <v>39059.339999999997</v>
      </c>
      <c r="D91" s="3">
        <f t="shared" si="6"/>
        <v>18562.520000000004</v>
      </c>
      <c r="E91" t="s">
        <v>10</v>
      </c>
      <c r="F91" t="s">
        <v>19</v>
      </c>
    </row>
    <row r="92" spans="1:6" x14ac:dyDescent="0.35">
      <c r="A92" t="s">
        <v>18</v>
      </c>
      <c r="B92" s="3">
        <v>7351.7</v>
      </c>
      <c r="C92" s="3">
        <v>5413.4</v>
      </c>
      <c r="D92" s="3">
        <f t="shared" si="6"/>
        <v>1938.3000000000002</v>
      </c>
      <c r="E92" t="s">
        <v>10</v>
      </c>
      <c r="F92" t="s">
        <v>19</v>
      </c>
    </row>
    <row r="93" spans="1:6" x14ac:dyDescent="0.35">
      <c r="A93" t="s">
        <v>20</v>
      </c>
      <c r="B93" s="3">
        <v>25212.7</v>
      </c>
      <c r="C93" s="3">
        <v>15951.31</v>
      </c>
      <c r="D93" s="3">
        <f t="shared" si="6"/>
        <v>9261.3900000000012</v>
      </c>
      <c r="E93" t="s">
        <v>10</v>
      </c>
      <c r="F93" t="s">
        <v>19</v>
      </c>
    </row>
    <row r="94" spans="1:6" x14ac:dyDescent="0.35">
      <c r="A94" t="s">
        <v>22</v>
      </c>
      <c r="B94" s="3">
        <v>2976.11</v>
      </c>
      <c r="C94" s="3">
        <v>2163.3000000000002</v>
      </c>
      <c r="D94" s="3">
        <f t="shared" si="6"/>
        <v>812.81</v>
      </c>
      <c r="E94" t="s">
        <v>10</v>
      </c>
      <c r="F94" t="s">
        <v>19</v>
      </c>
    </row>
    <row r="95" spans="1:6" x14ac:dyDescent="0.35">
      <c r="A95" t="s">
        <v>23</v>
      </c>
      <c r="B95" s="3">
        <v>1525.52</v>
      </c>
      <c r="C95" s="3">
        <v>1269.9000000000001</v>
      </c>
      <c r="D95" s="3">
        <f t="shared" si="6"/>
        <v>255.61999999999989</v>
      </c>
      <c r="E95" t="s">
        <v>10</v>
      </c>
      <c r="F95" t="s">
        <v>19</v>
      </c>
    </row>
    <row r="96" spans="1:6" x14ac:dyDescent="0.35">
      <c r="A96" t="s">
        <v>24</v>
      </c>
      <c r="B96" s="3">
        <v>26367.07</v>
      </c>
      <c r="C96" s="3">
        <v>20325.66</v>
      </c>
      <c r="D96" s="3">
        <f t="shared" si="6"/>
        <v>6041.41</v>
      </c>
      <c r="E96" t="s">
        <v>10</v>
      </c>
      <c r="F96" t="s">
        <v>19</v>
      </c>
    </row>
    <row r="97" spans="1:6" x14ac:dyDescent="0.35">
      <c r="A97" t="s">
        <v>25</v>
      </c>
      <c r="B97" s="3">
        <v>16026.69</v>
      </c>
      <c r="C97" s="3">
        <v>11843.01</v>
      </c>
      <c r="D97" s="3">
        <f t="shared" si="6"/>
        <v>4183.68</v>
      </c>
      <c r="E97" t="s">
        <v>10</v>
      </c>
      <c r="F97" t="s">
        <v>19</v>
      </c>
    </row>
    <row r="98" spans="1:6" x14ac:dyDescent="0.35">
      <c r="A98" t="s">
        <v>11</v>
      </c>
      <c r="B98" s="3">
        <v>77693.39</v>
      </c>
      <c r="C98" s="3">
        <v>61951.02</v>
      </c>
      <c r="D98" s="3">
        <f t="shared" ref="D98:D129" si="7">B98-C98</f>
        <v>15742.370000000003</v>
      </c>
      <c r="E98" t="s">
        <v>7</v>
      </c>
      <c r="F98" t="s">
        <v>21</v>
      </c>
    </row>
    <row r="99" spans="1:6" x14ac:dyDescent="0.35">
      <c r="A99" t="s">
        <v>16</v>
      </c>
      <c r="B99" s="3">
        <v>68597.899999999994</v>
      </c>
      <c r="C99" s="3">
        <v>47449.3</v>
      </c>
      <c r="D99" s="3">
        <f t="shared" si="7"/>
        <v>21148.599999999991</v>
      </c>
      <c r="E99" t="s">
        <v>7</v>
      </c>
      <c r="F99" t="s">
        <v>21</v>
      </c>
    </row>
    <row r="100" spans="1:6" x14ac:dyDescent="0.35">
      <c r="A100" t="s">
        <v>18</v>
      </c>
      <c r="B100" s="3">
        <v>7628.28</v>
      </c>
      <c r="C100" s="3">
        <v>6395.85</v>
      </c>
      <c r="D100" s="3">
        <f t="shared" si="7"/>
        <v>1232.4299999999994</v>
      </c>
      <c r="E100" t="s">
        <v>7</v>
      </c>
      <c r="F100" t="s">
        <v>21</v>
      </c>
    </row>
    <row r="101" spans="1:6" x14ac:dyDescent="0.35">
      <c r="A101" t="s">
        <v>20</v>
      </c>
      <c r="B101" s="3">
        <v>18480.45</v>
      </c>
      <c r="C101" s="3">
        <v>11596.57</v>
      </c>
      <c r="D101" s="3">
        <f t="shared" si="7"/>
        <v>6883.880000000001</v>
      </c>
      <c r="E101" t="s">
        <v>7</v>
      </c>
      <c r="F101" t="s">
        <v>21</v>
      </c>
    </row>
    <row r="102" spans="1:6" x14ac:dyDescent="0.35">
      <c r="A102" t="s">
        <v>22</v>
      </c>
      <c r="B102" s="3">
        <v>2506.9299999999998</v>
      </c>
      <c r="C102" s="3">
        <v>1998.76</v>
      </c>
      <c r="D102" s="3">
        <f t="shared" si="7"/>
        <v>508.16999999999985</v>
      </c>
      <c r="E102" t="s">
        <v>7</v>
      </c>
      <c r="F102" t="s">
        <v>21</v>
      </c>
    </row>
    <row r="103" spans="1:6" x14ac:dyDescent="0.35">
      <c r="A103" t="s">
        <v>23</v>
      </c>
      <c r="B103" s="3">
        <v>1778.28</v>
      </c>
      <c r="C103" s="3">
        <v>1268.01</v>
      </c>
      <c r="D103" s="3">
        <f t="shared" si="7"/>
        <v>510.27</v>
      </c>
      <c r="E103" t="s">
        <v>7</v>
      </c>
      <c r="F103" t="s">
        <v>21</v>
      </c>
    </row>
    <row r="104" spans="1:6" x14ac:dyDescent="0.35">
      <c r="A104" t="s">
        <v>24</v>
      </c>
      <c r="B104" s="3">
        <v>36016.019999999997</v>
      </c>
      <c r="C104" s="3">
        <v>22133.62</v>
      </c>
      <c r="D104" s="3">
        <f t="shared" si="7"/>
        <v>13882.399999999998</v>
      </c>
      <c r="E104" t="s">
        <v>7</v>
      </c>
      <c r="F104" t="s">
        <v>21</v>
      </c>
    </row>
    <row r="105" spans="1:6" x14ac:dyDescent="0.35">
      <c r="A105" t="s">
        <v>25</v>
      </c>
      <c r="B105" s="3">
        <v>19620.439999999999</v>
      </c>
      <c r="C105" s="3">
        <v>13965.96</v>
      </c>
      <c r="D105" s="3">
        <f t="shared" si="7"/>
        <v>5654.48</v>
      </c>
      <c r="E105" t="s">
        <v>7</v>
      </c>
      <c r="F105" t="s">
        <v>21</v>
      </c>
    </row>
    <row r="106" spans="1:6" x14ac:dyDescent="0.35">
      <c r="A106" t="s">
        <v>11</v>
      </c>
      <c r="B106" s="3">
        <v>98451.06</v>
      </c>
      <c r="C106" s="3">
        <v>68872.66</v>
      </c>
      <c r="D106" s="3">
        <f t="shared" si="7"/>
        <v>29578.399999999994</v>
      </c>
      <c r="E106" t="s">
        <v>8</v>
      </c>
      <c r="F106" t="s">
        <v>21</v>
      </c>
    </row>
    <row r="107" spans="1:6" x14ac:dyDescent="0.35">
      <c r="A107" t="s">
        <v>16</v>
      </c>
      <c r="B107" s="3">
        <v>49745.46</v>
      </c>
      <c r="C107" s="3">
        <v>32924.620000000003</v>
      </c>
      <c r="D107" s="3">
        <f t="shared" si="7"/>
        <v>16820.839999999997</v>
      </c>
      <c r="E107" t="s">
        <v>8</v>
      </c>
      <c r="F107" t="s">
        <v>21</v>
      </c>
    </row>
    <row r="108" spans="1:6" x14ac:dyDescent="0.35">
      <c r="A108" t="s">
        <v>18</v>
      </c>
      <c r="B108" s="3">
        <v>6160.43</v>
      </c>
      <c r="C108" s="3">
        <v>4372.68</v>
      </c>
      <c r="D108" s="3">
        <f t="shared" si="7"/>
        <v>1787.75</v>
      </c>
      <c r="E108" t="s">
        <v>8</v>
      </c>
      <c r="F108" t="s">
        <v>21</v>
      </c>
    </row>
    <row r="109" spans="1:6" x14ac:dyDescent="0.35">
      <c r="A109" t="s">
        <v>20</v>
      </c>
      <c r="B109" s="3">
        <v>19453.95</v>
      </c>
      <c r="C109" s="3">
        <v>15017.7</v>
      </c>
      <c r="D109" s="3">
        <f t="shared" si="7"/>
        <v>4436.25</v>
      </c>
      <c r="E109" t="s">
        <v>8</v>
      </c>
      <c r="F109" t="s">
        <v>21</v>
      </c>
    </row>
    <row r="110" spans="1:6" x14ac:dyDescent="0.35">
      <c r="A110" t="s">
        <v>22</v>
      </c>
      <c r="B110" s="3">
        <v>3658.51</v>
      </c>
      <c r="C110" s="3">
        <v>2840.7</v>
      </c>
      <c r="D110" s="3">
        <f t="shared" si="7"/>
        <v>817.8100000000004</v>
      </c>
      <c r="E110" t="s">
        <v>8</v>
      </c>
      <c r="F110" t="s">
        <v>21</v>
      </c>
    </row>
    <row r="111" spans="1:6" x14ac:dyDescent="0.35">
      <c r="A111" t="s">
        <v>23</v>
      </c>
      <c r="B111" s="3">
        <v>1465.16</v>
      </c>
      <c r="C111" s="3">
        <v>973.42</v>
      </c>
      <c r="D111" s="3">
        <f t="shared" si="7"/>
        <v>491.74000000000012</v>
      </c>
      <c r="E111" t="s">
        <v>8</v>
      </c>
      <c r="F111" t="s">
        <v>21</v>
      </c>
    </row>
    <row r="112" spans="1:6" x14ac:dyDescent="0.35">
      <c r="A112" t="s">
        <v>24</v>
      </c>
      <c r="B112" s="3">
        <v>30513.81</v>
      </c>
      <c r="C112" s="3">
        <v>22029.759999999998</v>
      </c>
      <c r="D112" s="3">
        <f t="shared" si="7"/>
        <v>8484.0500000000029</v>
      </c>
      <c r="E112" t="s">
        <v>8</v>
      </c>
      <c r="F112" t="s">
        <v>21</v>
      </c>
    </row>
    <row r="113" spans="1:6" x14ac:dyDescent="0.35">
      <c r="A113" t="s">
        <v>25</v>
      </c>
      <c r="B113" s="3">
        <v>18745.349999999999</v>
      </c>
      <c r="C113" s="3">
        <v>15587.11</v>
      </c>
      <c r="D113" s="3">
        <f t="shared" si="7"/>
        <v>3158.239999999998</v>
      </c>
      <c r="E113" t="s">
        <v>8</v>
      </c>
      <c r="F113" t="s">
        <v>21</v>
      </c>
    </row>
    <row r="114" spans="1:6" x14ac:dyDescent="0.35">
      <c r="A114" t="s">
        <v>11</v>
      </c>
      <c r="B114" s="3">
        <v>72806.39</v>
      </c>
      <c r="C114" s="3">
        <v>52444.82</v>
      </c>
      <c r="D114" s="3">
        <f t="shared" si="7"/>
        <v>20361.57</v>
      </c>
      <c r="E114" t="s">
        <v>9</v>
      </c>
      <c r="F114" t="s">
        <v>21</v>
      </c>
    </row>
    <row r="115" spans="1:6" x14ac:dyDescent="0.35">
      <c r="A115" t="s">
        <v>16</v>
      </c>
      <c r="B115" s="3">
        <v>50200.61</v>
      </c>
      <c r="C115" s="3">
        <v>38902.959999999999</v>
      </c>
      <c r="D115" s="3">
        <f t="shared" si="7"/>
        <v>11297.650000000001</v>
      </c>
      <c r="E115" t="s">
        <v>9</v>
      </c>
      <c r="F115" t="s">
        <v>21</v>
      </c>
    </row>
    <row r="116" spans="1:6" x14ac:dyDescent="0.35">
      <c r="A116" t="s">
        <v>18</v>
      </c>
      <c r="B116" s="3">
        <v>9438.1</v>
      </c>
      <c r="C116" s="3">
        <v>7449.38</v>
      </c>
      <c r="D116" s="3">
        <f t="shared" si="7"/>
        <v>1988.7200000000003</v>
      </c>
      <c r="E116" t="s">
        <v>9</v>
      </c>
      <c r="F116" t="s">
        <v>21</v>
      </c>
    </row>
    <row r="117" spans="1:6" x14ac:dyDescent="0.35">
      <c r="A117" t="s">
        <v>20</v>
      </c>
      <c r="B117" s="3">
        <v>23078.959999999999</v>
      </c>
      <c r="C117" s="3">
        <v>18104.54</v>
      </c>
      <c r="D117" s="3">
        <f t="shared" si="7"/>
        <v>4974.4199999999983</v>
      </c>
      <c r="E117" t="s">
        <v>9</v>
      </c>
      <c r="F117" t="s">
        <v>21</v>
      </c>
    </row>
    <row r="118" spans="1:6" x14ac:dyDescent="0.35">
      <c r="A118" t="s">
        <v>22</v>
      </c>
      <c r="B118" s="3">
        <v>3271.79</v>
      </c>
      <c r="C118" s="3">
        <v>2642.13</v>
      </c>
      <c r="D118" s="3">
        <f t="shared" si="7"/>
        <v>629.65999999999985</v>
      </c>
      <c r="E118" t="s">
        <v>9</v>
      </c>
      <c r="F118" t="s">
        <v>21</v>
      </c>
    </row>
    <row r="119" spans="1:6" x14ac:dyDescent="0.35">
      <c r="A119" t="s">
        <v>23</v>
      </c>
      <c r="B119" s="3">
        <v>1594.42</v>
      </c>
      <c r="C119" s="3">
        <v>1223.05</v>
      </c>
      <c r="D119" s="3">
        <f t="shared" si="7"/>
        <v>371.37000000000012</v>
      </c>
      <c r="E119" t="s">
        <v>9</v>
      </c>
      <c r="F119" t="s">
        <v>21</v>
      </c>
    </row>
    <row r="120" spans="1:6" x14ac:dyDescent="0.35">
      <c r="A120" t="s">
        <v>24</v>
      </c>
      <c r="B120" s="3">
        <v>26946.83</v>
      </c>
      <c r="C120" s="3">
        <v>22118.93</v>
      </c>
      <c r="D120" s="3">
        <f t="shared" si="7"/>
        <v>4827.9000000000015</v>
      </c>
      <c r="E120" t="s">
        <v>9</v>
      </c>
      <c r="F120" t="s">
        <v>21</v>
      </c>
    </row>
    <row r="121" spans="1:6" x14ac:dyDescent="0.35">
      <c r="A121" t="s">
        <v>25</v>
      </c>
      <c r="B121" s="3">
        <v>15778.21</v>
      </c>
      <c r="C121" s="3">
        <v>11855.48</v>
      </c>
      <c r="D121" s="3">
        <f t="shared" si="7"/>
        <v>3922.7299999999996</v>
      </c>
      <c r="E121" t="s">
        <v>9</v>
      </c>
      <c r="F121" t="s">
        <v>21</v>
      </c>
    </row>
    <row r="122" spans="1:6" x14ac:dyDescent="0.35">
      <c r="A122" t="s">
        <v>11</v>
      </c>
      <c r="B122" s="3">
        <v>116831</v>
      </c>
      <c r="C122" s="3">
        <v>97162.74</v>
      </c>
      <c r="D122" s="3">
        <f t="shared" si="7"/>
        <v>19668.259999999995</v>
      </c>
      <c r="E122" t="s">
        <v>10</v>
      </c>
      <c r="F122" t="s">
        <v>21</v>
      </c>
    </row>
    <row r="123" spans="1:6" x14ac:dyDescent="0.35">
      <c r="A123" t="s">
        <v>16</v>
      </c>
      <c r="B123" s="3">
        <v>67634.039999999994</v>
      </c>
      <c r="C123" s="3">
        <v>41356.1</v>
      </c>
      <c r="D123" s="3">
        <f t="shared" si="7"/>
        <v>26277.939999999995</v>
      </c>
      <c r="E123" t="s">
        <v>10</v>
      </c>
      <c r="F123" t="s">
        <v>21</v>
      </c>
    </row>
    <row r="124" spans="1:6" x14ac:dyDescent="0.35">
      <c r="A124" t="s">
        <v>18</v>
      </c>
      <c r="B124" s="3">
        <v>7457.2</v>
      </c>
      <c r="C124" s="3">
        <v>5083.5600000000004</v>
      </c>
      <c r="D124" s="3">
        <f t="shared" si="7"/>
        <v>2373.6399999999994</v>
      </c>
      <c r="E124" t="s">
        <v>10</v>
      </c>
      <c r="F124" t="s">
        <v>21</v>
      </c>
    </row>
    <row r="125" spans="1:6" x14ac:dyDescent="0.35">
      <c r="A125" t="s">
        <v>20</v>
      </c>
      <c r="B125" s="3">
        <v>21619.1</v>
      </c>
      <c r="C125" s="3">
        <v>13910.74</v>
      </c>
      <c r="D125" s="3">
        <f t="shared" si="7"/>
        <v>7708.3599999999988</v>
      </c>
      <c r="E125" t="s">
        <v>10</v>
      </c>
      <c r="F125" t="s">
        <v>21</v>
      </c>
    </row>
    <row r="126" spans="1:6" x14ac:dyDescent="0.35">
      <c r="A126" t="s">
        <v>22</v>
      </c>
      <c r="B126" s="3">
        <v>3279.88</v>
      </c>
      <c r="C126" s="3">
        <v>2060.71</v>
      </c>
      <c r="D126" s="3">
        <f t="shared" si="7"/>
        <v>1219.17</v>
      </c>
      <c r="E126" t="s">
        <v>10</v>
      </c>
      <c r="F126" t="s">
        <v>21</v>
      </c>
    </row>
    <row r="127" spans="1:6" x14ac:dyDescent="0.35">
      <c r="A127" t="s">
        <v>23</v>
      </c>
      <c r="B127" s="3">
        <v>1368.49</v>
      </c>
      <c r="C127" s="3">
        <v>1131.76</v>
      </c>
      <c r="D127" s="3">
        <f t="shared" si="7"/>
        <v>236.73000000000002</v>
      </c>
      <c r="E127" t="s">
        <v>10</v>
      </c>
      <c r="F127" t="s">
        <v>21</v>
      </c>
    </row>
    <row r="128" spans="1:6" x14ac:dyDescent="0.35">
      <c r="A128" t="s">
        <v>24</v>
      </c>
      <c r="B128" s="3">
        <v>37475.96</v>
      </c>
      <c r="C128" s="3">
        <v>26845.54</v>
      </c>
      <c r="D128" s="3">
        <f t="shared" si="7"/>
        <v>10630.419999999998</v>
      </c>
      <c r="E128" t="s">
        <v>10</v>
      </c>
      <c r="F128" t="s">
        <v>21</v>
      </c>
    </row>
    <row r="129" spans="1:6" x14ac:dyDescent="0.35">
      <c r="A129" t="s">
        <v>25</v>
      </c>
      <c r="B129" s="3">
        <v>14103.13</v>
      </c>
      <c r="C129" s="3">
        <v>11703.91</v>
      </c>
      <c r="D129" s="3">
        <f t="shared" si="7"/>
        <v>2399.2199999999993</v>
      </c>
      <c r="E129" t="s">
        <v>10</v>
      </c>
      <c r="F129" t="s">
        <v>21</v>
      </c>
    </row>
  </sheetData>
  <conditionalFormatting sqref="B2:B129">
    <cfRule type="cellIs" dxfId="1" priority="1" operator="greaterThan">
      <formula>80000</formula>
    </cfRule>
  </conditionalFormatting>
  <conditionalFormatting sqref="D2:D129">
    <cfRule type="cellIs" dxfId="0" priority="2" operator="lessThan">
      <formula>5000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decimal" operator="greaterThan" showInputMessage="1" showErrorMessage="1" errorTitle="Invalid Sales Value" error="Sales must be a positive number greater than zero." promptTitle="Enter Sales" prompt="Enter a sales amount greater than zero." sqref="B2:B1048576">
      <formula1>0</formula1>
    </dataValidation>
    <dataValidation type="custom" showInputMessage="1" showErrorMessage="1" errorTitle="Duplicate Product" error="This product name already exists in the Product column. Use a unique name." promptTitle="Unique Product Entry" prompt="For this validation rule, enter a product name only once in the Product column." sqref="A2:A1000">
      <formula1>COUNTIF($A$2:$A$1000,A2)=1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16" customWidth="1"/>
    <col min="2" max="6" width="18" customWidth="1"/>
    <col min="7" max="7" width="58" customWidth="1"/>
  </cols>
  <sheetData>
    <row r="1" spans="1:7" ht="21" x14ac:dyDescent="0.5">
      <c r="A1" s="10" t="s">
        <v>27</v>
      </c>
      <c r="B1" s="9"/>
      <c r="C1" s="9"/>
      <c r="D1" s="9"/>
      <c r="E1" s="9"/>
      <c r="F1" s="9"/>
    </row>
    <row r="2" spans="1:7" ht="32" customHeight="1" x14ac:dyDescent="0.35">
      <c r="A2" s="8" t="s">
        <v>28</v>
      </c>
      <c r="B2" s="9"/>
      <c r="C2" s="9"/>
      <c r="D2" s="9"/>
      <c r="E2" s="9"/>
      <c r="F2" s="9"/>
    </row>
    <row r="4" spans="1:7" x14ac:dyDescent="0.35">
      <c r="A4" s="4" t="s">
        <v>4</v>
      </c>
      <c r="B4" s="4" t="s">
        <v>0</v>
      </c>
      <c r="C4" s="4" t="s">
        <v>29</v>
      </c>
      <c r="D4" s="4" t="s">
        <v>14</v>
      </c>
      <c r="E4" s="4" t="s">
        <v>30</v>
      </c>
      <c r="G4" s="2" t="s">
        <v>31</v>
      </c>
    </row>
    <row r="5" spans="1:7" ht="30" customHeight="1" x14ac:dyDescent="0.35">
      <c r="A5" t="s">
        <v>7</v>
      </c>
      <c r="B5" t="s">
        <v>11</v>
      </c>
      <c r="C5" s="3">
        <f>SUMIFS('Sales Data'!$B$2:$B$129,'Sales Data'!$E$2:$E$129,A5,'Sales Data'!$A$2:$A$129,B5)</f>
        <v>314861.12000000005</v>
      </c>
      <c r="D5" s="3">
        <f>SUMIFS('Sales Data'!$C$2:$C$129,'Sales Data'!$E$2:$E$129,A5,'Sales Data'!$A$2:$A$129,B5)</f>
        <v>231762.58999999997</v>
      </c>
      <c r="E5" s="3">
        <f>SUMIFS('Sales Data'!$D$2:$D$129,'Sales Data'!$E$2:$E$129,A5,'Sales Data'!$A$2:$A$129,B5)</f>
        <v>83098.530000000028</v>
      </c>
      <c r="G5" s="6" t="s">
        <v>32</v>
      </c>
    </row>
    <row r="6" spans="1:7" ht="30" customHeight="1" x14ac:dyDescent="0.35">
      <c r="A6" t="s">
        <v>7</v>
      </c>
      <c r="B6" t="s">
        <v>16</v>
      </c>
      <c r="C6" s="3">
        <f>SUMIFS('Sales Data'!$B$2:$B$129,'Sales Data'!$E$2:$E$129,A6,'Sales Data'!$A$2:$A$129,B6)</f>
        <v>214069.37</v>
      </c>
      <c r="D6" s="3">
        <f>SUMIFS('Sales Data'!$C$2:$C$129,'Sales Data'!$E$2:$E$129,A6,'Sales Data'!$A$2:$A$129,B6)</f>
        <v>149097.63</v>
      </c>
      <c r="E6" s="3">
        <f>SUMIFS('Sales Data'!$D$2:$D$129,'Sales Data'!$E$2:$E$129,A6,'Sales Data'!$A$2:$A$129,B6)</f>
        <v>64971.74</v>
      </c>
      <c r="G6" s="6" t="s">
        <v>33</v>
      </c>
    </row>
    <row r="7" spans="1:7" ht="30" customHeight="1" x14ac:dyDescent="0.35">
      <c r="A7" t="s">
        <v>7</v>
      </c>
      <c r="B7" t="s">
        <v>18</v>
      </c>
      <c r="C7" s="3">
        <f>SUMIFS('Sales Data'!$B$2:$B$129,'Sales Data'!$E$2:$E$129,A7,'Sales Data'!$A$2:$A$129,B7)</f>
        <v>27154.47</v>
      </c>
      <c r="D7" s="3">
        <f>SUMIFS('Sales Data'!$C$2:$C$129,'Sales Data'!$E$2:$E$129,A7,'Sales Data'!$A$2:$A$129,B7)</f>
        <v>21922.739999999998</v>
      </c>
      <c r="E7" s="3">
        <f>SUMIFS('Sales Data'!$D$2:$D$129,'Sales Data'!$E$2:$E$129,A7,'Sales Data'!$A$2:$A$129,B7)</f>
        <v>5231.7299999999987</v>
      </c>
      <c r="G7" s="6" t="s">
        <v>34</v>
      </c>
    </row>
    <row r="8" spans="1:7" ht="30" customHeight="1" x14ac:dyDescent="0.35">
      <c r="A8" t="s">
        <v>7</v>
      </c>
      <c r="B8" t="s">
        <v>20</v>
      </c>
      <c r="C8" s="3">
        <f>SUMIFS('Sales Data'!$B$2:$B$129,'Sales Data'!$E$2:$E$129,A8,'Sales Data'!$A$2:$A$129,B8)</f>
        <v>74243.61</v>
      </c>
      <c r="D8" s="3">
        <f>SUMIFS('Sales Data'!$C$2:$C$129,'Sales Data'!$E$2:$E$129,A8,'Sales Data'!$A$2:$A$129,B8)</f>
        <v>52973.72</v>
      </c>
      <c r="E8" s="3">
        <f>SUMIFS('Sales Data'!$D$2:$D$129,'Sales Data'!$E$2:$E$129,A8,'Sales Data'!$A$2:$A$129,B8)</f>
        <v>21269.89</v>
      </c>
      <c r="G8" s="6" t="s">
        <v>35</v>
      </c>
    </row>
    <row r="9" spans="1:7" ht="30" customHeight="1" x14ac:dyDescent="0.35">
      <c r="A9" t="s">
        <v>7</v>
      </c>
      <c r="B9" t="s">
        <v>22</v>
      </c>
      <c r="C9" s="3">
        <f>SUMIFS('Sales Data'!$B$2:$B$129,'Sales Data'!$E$2:$E$129,A9,'Sales Data'!$A$2:$A$129,B9)</f>
        <v>10274.17</v>
      </c>
      <c r="D9" s="3">
        <f>SUMIFS('Sales Data'!$C$2:$C$129,'Sales Data'!$E$2:$E$129,A9,'Sales Data'!$A$2:$A$129,B9)</f>
        <v>7563.98</v>
      </c>
      <c r="E9" s="3">
        <f>SUMIFS('Sales Data'!$D$2:$D$129,'Sales Data'!$E$2:$E$129,A9,'Sales Data'!$A$2:$A$129,B9)</f>
        <v>2710.1899999999996</v>
      </c>
      <c r="G9" s="6" t="s">
        <v>36</v>
      </c>
    </row>
    <row r="10" spans="1:7" ht="30" customHeight="1" x14ac:dyDescent="0.35">
      <c r="A10" t="s">
        <v>7</v>
      </c>
      <c r="B10" t="s">
        <v>23</v>
      </c>
      <c r="C10" s="3">
        <f>SUMIFS('Sales Data'!$B$2:$B$129,'Sales Data'!$E$2:$E$129,A10,'Sales Data'!$A$2:$A$129,B10)</f>
        <v>5260.48</v>
      </c>
      <c r="D10" s="3">
        <f>SUMIFS('Sales Data'!$C$2:$C$129,'Sales Data'!$E$2:$E$129,A10,'Sales Data'!$A$2:$A$129,B10)</f>
        <v>3801.7799999999997</v>
      </c>
      <c r="E10" s="3">
        <f>SUMIFS('Sales Data'!$D$2:$D$129,'Sales Data'!$E$2:$E$129,A10,'Sales Data'!$A$2:$A$129,B10)</f>
        <v>1458.7</v>
      </c>
      <c r="G10" s="6" t="s">
        <v>37</v>
      </c>
    </row>
    <row r="11" spans="1:7" ht="30" customHeight="1" x14ac:dyDescent="0.35">
      <c r="A11" t="s">
        <v>7</v>
      </c>
      <c r="B11" t="s">
        <v>24</v>
      </c>
      <c r="C11" s="3">
        <f>SUMIFS('Sales Data'!$B$2:$B$129,'Sales Data'!$E$2:$E$129,A11,'Sales Data'!$A$2:$A$129,B11)</f>
        <v>116534.66999999998</v>
      </c>
      <c r="D11" s="3">
        <f>SUMIFS('Sales Data'!$C$2:$C$129,'Sales Data'!$E$2:$E$129,A11,'Sales Data'!$A$2:$A$129,B11)</f>
        <v>81434.759999999995</v>
      </c>
      <c r="E11" s="3">
        <f>SUMIFS('Sales Data'!$D$2:$D$129,'Sales Data'!$E$2:$E$129,A11,'Sales Data'!$A$2:$A$129,B11)</f>
        <v>35099.909999999996</v>
      </c>
      <c r="G11" s="6" t="s">
        <v>38</v>
      </c>
    </row>
    <row r="12" spans="1:7" ht="30" customHeight="1" x14ac:dyDescent="0.35">
      <c r="A12" t="s">
        <v>7</v>
      </c>
      <c r="B12" t="s">
        <v>25</v>
      </c>
      <c r="C12" s="3">
        <f>SUMIFS('Sales Data'!$B$2:$B$129,'Sales Data'!$E$2:$E$129,A12,'Sales Data'!$A$2:$A$129,B12)</f>
        <v>68515.92</v>
      </c>
      <c r="D12" s="3">
        <f>SUMIFS('Sales Data'!$C$2:$C$129,'Sales Data'!$E$2:$E$129,A12,'Sales Data'!$A$2:$A$129,B12)</f>
        <v>45561.72</v>
      </c>
      <c r="E12" s="3">
        <f>SUMIFS('Sales Data'!$D$2:$D$129,'Sales Data'!$E$2:$E$129,A12,'Sales Data'!$A$2:$A$129,B12)</f>
        <v>22954.2</v>
      </c>
      <c r="G12" s="6" t="s">
        <v>39</v>
      </c>
    </row>
    <row r="13" spans="1:7" ht="30" customHeight="1" x14ac:dyDescent="0.35">
      <c r="A13" t="s">
        <v>8</v>
      </c>
      <c r="B13" t="s">
        <v>11</v>
      </c>
      <c r="C13" s="3">
        <f>SUMIFS('Sales Data'!$B$2:$B$129,'Sales Data'!$E$2:$E$129,A13,'Sales Data'!$A$2:$A$129,B13)</f>
        <v>290345.28000000003</v>
      </c>
      <c r="D13" s="3">
        <f>SUMIFS('Sales Data'!$C$2:$C$129,'Sales Data'!$E$2:$E$129,A13,'Sales Data'!$A$2:$A$129,B13)</f>
        <v>199476.94</v>
      </c>
      <c r="E13" s="3">
        <f>SUMIFS('Sales Data'!$D$2:$D$129,'Sales Data'!$E$2:$E$129,A13,'Sales Data'!$A$2:$A$129,B13)</f>
        <v>90868.34</v>
      </c>
      <c r="G13" s="6" t="s">
        <v>40</v>
      </c>
    </row>
    <row r="14" spans="1:7" ht="30" customHeight="1" x14ac:dyDescent="0.35">
      <c r="A14" t="s">
        <v>8</v>
      </c>
      <c r="B14" t="s">
        <v>16</v>
      </c>
      <c r="C14" s="3">
        <f>SUMIFS('Sales Data'!$B$2:$B$129,'Sales Data'!$E$2:$E$129,A14,'Sales Data'!$A$2:$A$129,B14)</f>
        <v>184026.36999999997</v>
      </c>
      <c r="D14" s="3">
        <f>SUMIFS('Sales Data'!$C$2:$C$129,'Sales Data'!$E$2:$E$129,A14,'Sales Data'!$A$2:$A$129,B14)</f>
        <v>131186.44</v>
      </c>
      <c r="E14" s="3">
        <f>SUMIFS('Sales Data'!$D$2:$D$129,'Sales Data'!$E$2:$E$129,A14,'Sales Data'!$A$2:$A$129,B14)</f>
        <v>52839.929999999993</v>
      </c>
      <c r="G14" s="6" t="s">
        <v>41</v>
      </c>
    </row>
    <row r="15" spans="1:7" ht="30" customHeight="1" x14ac:dyDescent="0.35">
      <c r="A15" t="s">
        <v>8</v>
      </c>
      <c r="B15" t="s">
        <v>18</v>
      </c>
      <c r="C15" s="3">
        <f>SUMIFS('Sales Data'!$B$2:$B$129,'Sales Data'!$E$2:$E$129,A15,'Sales Data'!$A$2:$A$129,B15)</f>
        <v>26650.14</v>
      </c>
      <c r="D15" s="3">
        <f>SUMIFS('Sales Data'!$C$2:$C$129,'Sales Data'!$E$2:$E$129,A15,'Sales Data'!$A$2:$A$129,B15)</f>
        <v>20210.800000000003</v>
      </c>
      <c r="E15" s="3">
        <f>SUMIFS('Sales Data'!$D$2:$D$129,'Sales Data'!$E$2:$E$129,A15,'Sales Data'!$A$2:$A$129,B15)</f>
        <v>6439.3399999999983</v>
      </c>
      <c r="G15" s="6" t="s">
        <v>42</v>
      </c>
    </row>
    <row r="16" spans="1:7" x14ac:dyDescent="0.35">
      <c r="A16" t="s">
        <v>8</v>
      </c>
      <c r="B16" t="s">
        <v>20</v>
      </c>
      <c r="C16" s="3">
        <f>SUMIFS('Sales Data'!$B$2:$B$129,'Sales Data'!$E$2:$E$129,A16,'Sales Data'!$A$2:$A$129,B16)</f>
        <v>76168.09</v>
      </c>
      <c r="D16" s="3">
        <f>SUMIFS('Sales Data'!$C$2:$C$129,'Sales Data'!$E$2:$E$129,A16,'Sales Data'!$A$2:$A$129,B16)</f>
        <v>56141.039999999994</v>
      </c>
      <c r="E16" s="3">
        <f>SUMIFS('Sales Data'!$D$2:$D$129,'Sales Data'!$E$2:$E$129,A16,'Sales Data'!$A$2:$A$129,B16)</f>
        <v>20027.050000000003</v>
      </c>
    </row>
    <row r="17" spans="1:5" x14ac:dyDescent="0.35">
      <c r="A17" t="s">
        <v>8</v>
      </c>
      <c r="B17" t="s">
        <v>22</v>
      </c>
      <c r="C17" s="3">
        <f>SUMIFS('Sales Data'!$B$2:$B$129,'Sales Data'!$E$2:$E$129,A17,'Sales Data'!$A$2:$A$129,B17)</f>
        <v>11272.470000000001</v>
      </c>
      <c r="D17" s="3">
        <f>SUMIFS('Sales Data'!$C$2:$C$129,'Sales Data'!$E$2:$E$129,A17,'Sales Data'!$A$2:$A$129,B17)</f>
        <v>8312.5</v>
      </c>
      <c r="E17" s="3">
        <f>SUMIFS('Sales Data'!$D$2:$D$129,'Sales Data'!$E$2:$E$129,A17,'Sales Data'!$A$2:$A$129,B17)</f>
        <v>2959.9700000000003</v>
      </c>
    </row>
    <row r="18" spans="1:5" x14ac:dyDescent="0.35">
      <c r="A18" t="s">
        <v>8</v>
      </c>
      <c r="B18" t="s">
        <v>23</v>
      </c>
      <c r="C18" s="3">
        <f>SUMIFS('Sales Data'!$B$2:$B$129,'Sales Data'!$E$2:$E$129,A18,'Sales Data'!$A$2:$A$129,B18)</f>
        <v>5729.7599999999993</v>
      </c>
      <c r="D18" s="3">
        <f>SUMIFS('Sales Data'!$C$2:$C$129,'Sales Data'!$E$2:$E$129,A18,'Sales Data'!$A$2:$A$129,B18)</f>
        <v>3969.2700000000004</v>
      </c>
      <c r="E18" s="3">
        <f>SUMIFS('Sales Data'!$D$2:$D$129,'Sales Data'!$E$2:$E$129,A18,'Sales Data'!$A$2:$A$129,B18)</f>
        <v>1760.4900000000002</v>
      </c>
    </row>
    <row r="19" spans="1:5" x14ac:dyDescent="0.35">
      <c r="A19" t="s">
        <v>8</v>
      </c>
      <c r="B19" t="s">
        <v>24</v>
      </c>
      <c r="C19" s="3">
        <f>SUMIFS('Sales Data'!$B$2:$B$129,'Sales Data'!$E$2:$E$129,A19,'Sales Data'!$A$2:$A$129,B19)</f>
        <v>106244.81</v>
      </c>
      <c r="D19" s="3">
        <f>SUMIFS('Sales Data'!$C$2:$C$129,'Sales Data'!$E$2:$E$129,A19,'Sales Data'!$A$2:$A$129,B19)</f>
        <v>76609.06</v>
      </c>
      <c r="E19" s="3">
        <f>SUMIFS('Sales Data'!$D$2:$D$129,'Sales Data'!$E$2:$E$129,A19,'Sales Data'!$A$2:$A$129,B19)</f>
        <v>29635.750000000007</v>
      </c>
    </row>
    <row r="20" spans="1:5" x14ac:dyDescent="0.35">
      <c r="A20" t="s">
        <v>8</v>
      </c>
      <c r="B20" t="s">
        <v>25</v>
      </c>
      <c r="C20" s="3">
        <f>SUMIFS('Sales Data'!$B$2:$B$129,'Sales Data'!$E$2:$E$129,A20,'Sales Data'!$A$2:$A$129,B20)</f>
        <v>57163.659999999996</v>
      </c>
      <c r="D20" s="3">
        <f>SUMIFS('Sales Data'!$C$2:$C$129,'Sales Data'!$E$2:$E$129,A20,'Sales Data'!$A$2:$A$129,B20)</f>
        <v>44399.020000000004</v>
      </c>
      <c r="E20" s="3">
        <f>SUMIFS('Sales Data'!$D$2:$D$129,'Sales Data'!$E$2:$E$129,A20,'Sales Data'!$A$2:$A$129,B20)</f>
        <v>12764.639999999998</v>
      </c>
    </row>
    <row r="21" spans="1:5" x14ac:dyDescent="0.35">
      <c r="A21" t="s">
        <v>9</v>
      </c>
      <c r="B21" t="s">
        <v>11</v>
      </c>
      <c r="C21" s="3">
        <f>SUMIFS('Sales Data'!$B$2:$B$129,'Sales Data'!$E$2:$E$129,A21,'Sales Data'!$A$2:$A$129,B21)</f>
        <v>319003.11000000004</v>
      </c>
      <c r="D21" s="3">
        <f>SUMIFS('Sales Data'!$C$2:$C$129,'Sales Data'!$E$2:$E$129,A21,'Sales Data'!$A$2:$A$129,B21)</f>
        <v>215711.55</v>
      </c>
      <c r="E21" s="3">
        <f>SUMIFS('Sales Data'!$D$2:$D$129,'Sales Data'!$E$2:$E$129,A21,'Sales Data'!$A$2:$A$129,B21)</f>
        <v>103291.56</v>
      </c>
    </row>
    <row r="22" spans="1:5" x14ac:dyDescent="0.35">
      <c r="A22" t="s">
        <v>9</v>
      </c>
      <c r="B22" t="s">
        <v>16</v>
      </c>
      <c r="C22" s="3">
        <f>SUMIFS('Sales Data'!$B$2:$B$129,'Sales Data'!$E$2:$E$129,A22,'Sales Data'!$A$2:$A$129,B22)</f>
        <v>166479.99</v>
      </c>
      <c r="D22" s="3">
        <f>SUMIFS('Sales Data'!$C$2:$C$129,'Sales Data'!$E$2:$E$129,A22,'Sales Data'!$A$2:$A$129,B22)</f>
        <v>129586.66</v>
      </c>
      <c r="E22" s="3">
        <f>SUMIFS('Sales Data'!$D$2:$D$129,'Sales Data'!$E$2:$E$129,A22,'Sales Data'!$A$2:$A$129,B22)</f>
        <v>36893.33</v>
      </c>
    </row>
    <row r="23" spans="1:5" x14ac:dyDescent="0.35">
      <c r="A23" t="s">
        <v>9</v>
      </c>
      <c r="B23" t="s">
        <v>18</v>
      </c>
      <c r="C23" s="3">
        <f>SUMIFS('Sales Data'!$B$2:$B$129,'Sales Data'!$E$2:$E$129,A23,'Sales Data'!$A$2:$A$129,B23)</f>
        <v>29594.129999999997</v>
      </c>
      <c r="D23" s="3">
        <f>SUMIFS('Sales Data'!$C$2:$C$129,'Sales Data'!$E$2:$E$129,A23,'Sales Data'!$A$2:$A$129,B23)</f>
        <v>22042.79</v>
      </c>
      <c r="E23" s="3">
        <f>SUMIFS('Sales Data'!$D$2:$D$129,'Sales Data'!$E$2:$E$129,A23,'Sales Data'!$A$2:$A$129,B23)</f>
        <v>7551.3399999999992</v>
      </c>
    </row>
    <row r="24" spans="1:5" x14ac:dyDescent="0.35">
      <c r="A24" t="s">
        <v>9</v>
      </c>
      <c r="B24" t="s">
        <v>20</v>
      </c>
      <c r="C24" s="3">
        <f>SUMIFS('Sales Data'!$B$2:$B$129,'Sales Data'!$E$2:$E$129,A24,'Sales Data'!$A$2:$A$129,B24)</f>
        <v>77565.13</v>
      </c>
      <c r="D24" s="3">
        <f>SUMIFS('Sales Data'!$C$2:$C$129,'Sales Data'!$E$2:$E$129,A24,'Sales Data'!$A$2:$A$129,B24)</f>
        <v>54147.060000000005</v>
      </c>
      <c r="E24" s="3">
        <f>SUMIFS('Sales Data'!$D$2:$D$129,'Sales Data'!$E$2:$E$129,A24,'Sales Data'!$A$2:$A$129,B24)</f>
        <v>23418.069999999996</v>
      </c>
    </row>
    <row r="25" spans="1:5" x14ac:dyDescent="0.35">
      <c r="A25" t="s">
        <v>9</v>
      </c>
      <c r="B25" t="s">
        <v>22</v>
      </c>
      <c r="C25" s="3">
        <f>SUMIFS('Sales Data'!$B$2:$B$129,'Sales Data'!$E$2:$E$129,A25,'Sales Data'!$A$2:$A$129,B25)</f>
        <v>10050.380000000001</v>
      </c>
      <c r="D25" s="3">
        <f>SUMIFS('Sales Data'!$C$2:$C$129,'Sales Data'!$E$2:$E$129,A25,'Sales Data'!$A$2:$A$129,B25)</f>
        <v>7402.14</v>
      </c>
      <c r="E25" s="3">
        <f>SUMIFS('Sales Data'!$D$2:$D$129,'Sales Data'!$E$2:$E$129,A25,'Sales Data'!$A$2:$A$129,B25)</f>
        <v>2648.2400000000002</v>
      </c>
    </row>
    <row r="26" spans="1:5" x14ac:dyDescent="0.35">
      <c r="A26" t="s">
        <v>9</v>
      </c>
      <c r="B26" t="s">
        <v>23</v>
      </c>
      <c r="C26" s="3">
        <f>SUMIFS('Sales Data'!$B$2:$B$129,'Sales Data'!$E$2:$E$129,A26,'Sales Data'!$A$2:$A$129,B26)</f>
        <v>5136.91</v>
      </c>
      <c r="D26" s="3">
        <f>SUMIFS('Sales Data'!$C$2:$C$129,'Sales Data'!$E$2:$E$129,A26,'Sales Data'!$A$2:$A$129,B26)</f>
        <v>3880.1900000000005</v>
      </c>
      <c r="E26" s="3">
        <f>SUMIFS('Sales Data'!$D$2:$D$129,'Sales Data'!$E$2:$E$129,A26,'Sales Data'!$A$2:$A$129,B26)</f>
        <v>1256.7199999999998</v>
      </c>
    </row>
    <row r="27" spans="1:5" x14ac:dyDescent="0.35">
      <c r="A27" t="s">
        <v>9</v>
      </c>
      <c r="B27" t="s">
        <v>24</v>
      </c>
      <c r="C27" s="3">
        <f>SUMIFS('Sales Data'!$B$2:$B$129,'Sales Data'!$E$2:$E$129,A27,'Sales Data'!$A$2:$A$129,B27)</f>
        <v>97342.75</v>
      </c>
      <c r="D27" s="3">
        <f>SUMIFS('Sales Data'!$C$2:$C$129,'Sales Data'!$E$2:$E$129,A27,'Sales Data'!$A$2:$A$129,B27)</f>
        <v>75124.950000000012</v>
      </c>
      <c r="E27" s="3">
        <f>SUMIFS('Sales Data'!$D$2:$D$129,'Sales Data'!$E$2:$E$129,A27,'Sales Data'!$A$2:$A$129,B27)</f>
        <v>22217.800000000003</v>
      </c>
    </row>
    <row r="28" spans="1:5" x14ac:dyDescent="0.35">
      <c r="A28" t="s">
        <v>9</v>
      </c>
      <c r="B28" t="s">
        <v>25</v>
      </c>
      <c r="C28" s="3">
        <f>SUMIFS('Sales Data'!$B$2:$B$129,'Sales Data'!$E$2:$E$129,A28,'Sales Data'!$A$2:$A$129,B28)</f>
        <v>59117.99</v>
      </c>
      <c r="D28" s="3">
        <f>SUMIFS('Sales Data'!$C$2:$C$129,'Sales Data'!$E$2:$E$129,A28,'Sales Data'!$A$2:$A$129,B28)</f>
        <v>44424.659999999996</v>
      </c>
      <c r="E28" s="3">
        <f>SUMIFS('Sales Data'!$D$2:$D$129,'Sales Data'!$E$2:$E$129,A28,'Sales Data'!$A$2:$A$129,B28)</f>
        <v>14693.330000000002</v>
      </c>
    </row>
    <row r="29" spans="1:5" x14ac:dyDescent="0.35">
      <c r="A29" t="s">
        <v>10</v>
      </c>
      <c r="B29" t="s">
        <v>11</v>
      </c>
      <c r="C29" s="3">
        <f>SUMIFS('Sales Data'!$B$2:$B$129,'Sales Data'!$E$2:$E$129,A29,'Sales Data'!$A$2:$A$129,B29)</f>
        <v>351785.95999999996</v>
      </c>
      <c r="D29" s="3">
        <f>SUMIFS('Sales Data'!$C$2:$C$129,'Sales Data'!$E$2:$E$129,A29,'Sales Data'!$A$2:$A$129,B29)</f>
        <v>263102.42</v>
      </c>
      <c r="E29" s="3">
        <f>SUMIFS('Sales Data'!$D$2:$D$129,'Sales Data'!$E$2:$E$129,A29,'Sales Data'!$A$2:$A$129,B29)</f>
        <v>88683.54</v>
      </c>
    </row>
    <row r="30" spans="1:5" x14ac:dyDescent="0.35">
      <c r="A30" t="s">
        <v>10</v>
      </c>
      <c r="B30" t="s">
        <v>16</v>
      </c>
      <c r="C30" s="3">
        <f>SUMIFS('Sales Data'!$B$2:$B$129,'Sales Data'!$E$2:$E$129,A30,'Sales Data'!$A$2:$A$129,B30)</f>
        <v>210815.49</v>
      </c>
      <c r="D30" s="3">
        <f>SUMIFS('Sales Data'!$C$2:$C$129,'Sales Data'!$E$2:$E$129,A30,'Sales Data'!$A$2:$A$129,B30)</f>
        <v>143199.6</v>
      </c>
      <c r="E30" s="3">
        <f>SUMIFS('Sales Data'!$D$2:$D$129,'Sales Data'!$E$2:$E$129,A30,'Sales Data'!$A$2:$A$129,B30)</f>
        <v>67615.890000000014</v>
      </c>
    </row>
    <row r="31" spans="1:5" x14ac:dyDescent="0.35">
      <c r="A31" t="s">
        <v>10</v>
      </c>
      <c r="B31" t="s">
        <v>18</v>
      </c>
      <c r="C31" s="3">
        <f>SUMIFS('Sales Data'!$B$2:$B$129,'Sales Data'!$E$2:$E$129,A31,'Sales Data'!$A$2:$A$129,B31)</f>
        <v>29369.82</v>
      </c>
      <c r="D31" s="3">
        <f>SUMIFS('Sales Data'!$C$2:$C$129,'Sales Data'!$E$2:$E$129,A31,'Sales Data'!$A$2:$A$129,B31)</f>
        <v>22099.7</v>
      </c>
      <c r="E31" s="3">
        <f>SUMIFS('Sales Data'!$D$2:$D$129,'Sales Data'!$E$2:$E$129,A31,'Sales Data'!$A$2:$A$129,B31)</f>
        <v>7270.12</v>
      </c>
    </row>
    <row r="32" spans="1:5" x14ac:dyDescent="0.35">
      <c r="A32" t="s">
        <v>10</v>
      </c>
      <c r="B32" t="s">
        <v>20</v>
      </c>
      <c r="C32" s="3">
        <f>SUMIFS('Sales Data'!$B$2:$B$129,'Sales Data'!$E$2:$E$129,A32,'Sales Data'!$A$2:$A$129,B32)</f>
        <v>77361.239999999991</v>
      </c>
      <c r="D32" s="3">
        <f>SUMIFS('Sales Data'!$C$2:$C$129,'Sales Data'!$E$2:$E$129,A32,'Sales Data'!$A$2:$A$129,B32)</f>
        <v>50554.46</v>
      </c>
      <c r="E32" s="3">
        <f>SUMIFS('Sales Data'!$D$2:$D$129,'Sales Data'!$E$2:$E$129,A32,'Sales Data'!$A$2:$A$129,B32)</f>
        <v>26806.78</v>
      </c>
    </row>
    <row r="33" spans="1:5" x14ac:dyDescent="0.35">
      <c r="A33" t="s">
        <v>10</v>
      </c>
      <c r="B33" t="s">
        <v>22</v>
      </c>
      <c r="C33" s="3">
        <f>SUMIFS('Sales Data'!$B$2:$B$129,'Sales Data'!$E$2:$E$129,A33,'Sales Data'!$A$2:$A$129,B33)</f>
        <v>11685.990000000002</v>
      </c>
      <c r="D33" s="3">
        <f>SUMIFS('Sales Data'!$C$2:$C$129,'Sales Data'!$E$2:$E$129,A33,'Sales Data'!$A$2:$A$129,B33)</f>
        <v>8308.92</v>
      </c>
      <c r="E33" s="3">
        <f>SUMIFS('Sales Data'!$D$2:$D$129,'Sales Data'!$E$2:$E$129,A33,'Sales Data'!$A$2:$A$129,B33)</f>
        <v>3377.07</v>
      </c>
    </row>
    <row r="34" spans="1:5" x14ac:dyDescent="0.35">
      <c r="A34" t="s">
        <v>10</v>
      </c>
      <c r="B34" t="s">
        <v>23</v>
      </c>
      <c r="C34" s="3">
        <f>SUMIFS('Sales Data'!$B$2:$B$129,'Sales Data'!$E$2:$E$129,A34,'Sales Data'!$A$2:$A$129,B34)</f>
        <v>5866.1100000000006</v>
      </c>
      <c r="D34" s="3">
        <f>SUMIFS('Sales Data'!$C$2:$C$129,'Sales Data'!$E$2:$E$129,A34,'Sales Data'!$A$2:$A$129,B34)</f>
        <v>4553.5600000000004</v>
      </c>
      <c r="E34" s="3">
        <f>SUMIFS('Sales Data'!$D$2:$D$129,'Sales Data'!$E$2:$E$129,A34,'Sales Data'!$A$2:$A$129,B34)</f>
        <v>1312.5500000000002</v>
      </c>
    </row>
    <row r="35" spans="1:5" x14ac:dyDescent="0.35">
      <c r="A35" t="s">
        <v>10</v>
      </c>
      <c r="B35" t="s">
        <v>24</v>
      </c>
      <c r="C35" s="3">
        <f>SUMIFS('Sales Data'!$B$2:$B$129,'Sales Data'!$E$2:$E$129,A35,'Sales Data'!$A$2:$A$129,B35)</f>
        <v>108606.78</v>
      </c>
      <c r="D35" s="3">
        <f>SUMIFS('Sales Data'!$C$2:$C$129,'Sales Data'!$E$2:$E$129,A35,'Sales Data'!$A$2:$A$129,B35)</f>
        <v>78366.559999999998</v>
      </c>
      <c r="E35" s="3">
        <f>SUMIFS('Sales Data'!$D$2:$D$129,'Sales Data'!$E$2:$E$129,A35,'Sales Data'!$A$2:$A$129,B35)</f>
        <v>30240.219999999998</v>
      </c>
    </row>
    <row r="36" spans="1:5" x14ac:dyDescent="0.35">
      <c r="A36" t="s">
        <v>10</v>
      </c>
      <c r="B36" t="s">
        <v>25</v>
      </c>
      <c r="C36" s="3">
        <f>SUMIFS('Sales Data'!$B$2:$B$129,'Sales Data'!$E$2:$E$129,A36,'Sales Data'!$A$2:$A$129,B36)</f>
        <v>62552.46</v>
      </c>
      <c r="D36" s="3">
        <f>SUMIFS('Sales Data'!$C$2:$C$129,'Sales Data'!$E$2:$E$129,A36,'Sales Data'!$A$2:$A$129,B36)</f>
        <v>47990.710000000006</v>
      </c>
      <c r="E36" s="3">
        <f>SUMIFS('Sales Data'!$D$2:$D$129,'Sales Data'!$E$2:$E$129,A36,'Sales Data'!$A$2:$A$129,B36)</f>
        <v>14561.75</v>
      </c>
    </row>
  </sheetData>
  <mergeCells count="2">
    <mergeCell ref="A2:F2"/>
    <mergeCell ref="A1:F1"/>
  </mergeCells>
  <conditionalFormatting sqref="E5:E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2" topLeftCell="A3" activePane="bottomLeft" state="frozen"/>
      <selection pane="bottomLeft" sqref="A1:D1"/>
    </sheetView>
  </sheetViews>
  <sheetFormatPr defaultRowHeight="14.5" x14ac:dyDescent="0.35"/>
  <cols>
    <col min="1" max="1" width="25" customWidth="1"/>
    <col min="2" max="4" width="28" customWidth="1"/>
  </cols>
  <sheetData>
    <row r="1" spans="1:4" ht="21" x14ac:dyDescent="0.5">
      <c r="A1" s="10" t="s">
        <v>43</v>
      </c>
      <c r="B1" s="9"/>
      <c r="C1" s="9"/>
      <c r="D1" s="9"/>
    </row>
    <row r="3" spans="1:4" ht="45" customHeight="1" x14ac:dyDescent="0.35">
      <c r="A3" s="7" t="s">
        <v>44</v>
      </c>
      <c r="B3" s="11" t="s">
        <v>45</v>
      </c>
      <c r="C3" s="9"/>
      <c r="D3" s="9"/>
    </row>
    <row r="4" spans="1:4" ht="45" customHeight="1" x14ac:dyDescent="0.35">
      <c r="A4" s="7" t="s">
        <v>46</v>
      </c>
      <c r="B4" s="11" t="s">
        <v>47</v>
      </c>
      <c r="C4" s="9"/>
      <c r="D4" s="9"/>
    </row>
    <row r="5" spans="1:4" ht="32" customHeight="1" x14ac:dyDescent="0.35">
      <c r="A5" s="7" t="s">
        <v>48</v>
      </c>
      <c r="B5" s="11" t="s">
        <v>49</v>
      </c>
      <c r="C5" s="9"/>
      <c r="D5" s="9"/>
    </row>
    <row r="6" spans="1:4" ht="32" customHeight="1" x14ac:dyDescent="0.35">
      <c r="A6" s="7" t="s">
        <v>50</v>
      </c>
      <c r="B6" s="11" t="s">
        <v>51</v>
      </c>
      <c r="C6" s="9"/>
      <c r="D6" s="9"/>
    </row>
    <row r="7" spans="1:4" ht="32" customHeight="1" x14ac:dyDescent="0.35">
      <c r="A7" s="7" t="s">
        <v>52</v>
      </c>
      <c r="B7" s="11" t="s">
        <v>53</v>
      </c>
      <c r="C7" s="9"/>
      <c r="D7" s="9"/>
    </row>
    <row r="8" spans="1:4" ht="45" customHeight="1" x14ac:dyDescent="0.35">
      <c r="A8" s="7" t="s">
        <v>54</v>
      </c>
      <c r="B8" s="11" t="s">
        <v>55</v>
      </c>
      <c r="C8" s="9"/>
      <c r="D8" s="9"/>
    </row>
    <row r="9" spans="1:4" ht="45" customHeight="1" x14ac:dyDescent="0.35">
      <c r="A9" s="7" t="s">
        <v>56</v>
      </c>
      <c r="B9" s="11" t="s">
        <v>57</v>
      </c>
      <c r="C9" s="9"/>
      <c r="D9" s="9"/>
    </row>
    <row r="10" spans="1:4" ht="32" customHeight="1" x14ac:dyDescent="0.35">
      <c r="A10" s="7" t="s">
        <v>58</v>
      </c>
      <c r="B10" s="11" t="s">
        <v>59</v>
      </c>
      <c r="C10" s="9"/>
      <c r="D10" s="9"/>
    </row>
    <row r="11" spans="1:4" ht="45" customHeight="1" x14ac:dyDescent="0.35">
      <c r="A11" s="7" t="s">
        <v>60</v>
      </c>
      <c r="B11" s="11" t="s">
        <v>61</v>
      </c>
      <c r="C11" s="9"/>
      <c r="D11" s="9"/>
    </row>
    <row r="12" spans="1:4" ht="32" customHeight="1" x14ac:dyDescent="0.35">
      <c r="A12" s="7" t="s">
        <v>62</v>
      </c>
      <c r="B12" s="11" t="s">
        <v>63</v>
      </c>
      <c r="C12" s="9"/>
      <c r="D12" s="9"/>
    </row>
    <row r="13" spans="1:4" ht="32" customHeight="1" x14ac:dyDescent="0.35">
      <c r="A13" s="7" t="s">
        <v>64</v>
      </c>
      <c r="B13" s="11" t="s">
        <v>65</v>
      </c>
      <c r="C13" s="9"/>
      <c r="D13" s="9"/>
    </row>
  </sheetData>
  <mergeCells count="12">
    <mergeCell ref="B13:D13"/>
    <mergeCell ref="B12:D12"/>
    <mergeCell ref="B7:D7"/>
    <mergeCell ref="B6:D6"/>
    <mergeCell ref="B10:D10"/>
    <mergeCell ref="A1:D1"/>
    <mergeCell ref="B11:D11"/>
    <mergeCell ref="B3:D3"/>
    <mergeCell ref="B5:D5"/>
    <mergeCell ref="B8:D8"/>
    <mergeCell ref="B4:D4"/>
    <mergeCell ref="B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8"/>
  <sheetViews>
    <sheetView topLeftCell="A88" workbookViewId="0">
      <selection activeCell="I2" sqref="I2"/>
    </sheetView>
  </sheetViews>
  <sheetFormatPr defaultRowHeight="14.5" x14ac:dyDescent="0.35"/>
  <cols>
    <col min="1" max="1" width="15.1796875" bestFit="1" customWidth="1"/>
    <col min="2" max="2" width="11.26953125" customWidth="1"/>
    <col min="3" max="3" width="11.81640625" customWidth="1"/>
    <col min="4" max="4" width="14.90625" customWidth="1"/>
    <col min="5" max="5" width="9.81640625" customWidth="1"/>
    <col min="6" max="6" width="10.7265625" customWidth="1"/>
  </cols>
  <sheetData>
    <row r="3" spans="1:6" x14ac:dyDescent="0.35">
      <c r="A3" s="12" t="s">
        <v>69</v>
      </c>
      <c r="B3" s="12" t="s">
        <v>68</v>
      </c>
    </row>
    <row r="4" spans="1:6" x14ac:dyDescent="0.35">
      <c r="A4" s="12" t="s">
        <v>66</v>
      </c>
      <c r="B4" t="s">
        <v>9</v>
      </c>
      <c r="C4" t="s">
        <v>7</v>
      </c>
      <c r="D4" t="s">
        <v>8</v>
      </c>
      <c r="E4" t="s">
        <v>10</v>
      </c>
      <c r="F4" t="s">
        <v>67</v>
      </c>
    </row>
    <row r="5" spans="1:6" x14ac:dyDescent="0.35">
      <c r="A5" s="13" t="s">
        <v>12</v>
      </c>
      <c r="B5" s="14">
        <v>171984.49</v>
      </c>
      <c r="C5" s="14">
        <v>178772.33999999997</v>
      </c>
      <c r="D5" s="14">
        <v>167559.26</v>
      </c>
      <c r="E5" s="14">
        <v>168962.7</v>
      </c>
      <c r="F5" s="14">
        <v>687278.79</v>
      </c>
    </row>
    <row r="6" spans="1:6" x14ac:dyDescent="0.35">
      <c r="A6" s="13" t="s">
        <v>17</v>
      </c>
      <c r="B6" s="14">
        <v>191941.90999999997</v>
      </c>
      <c r="C6" s="14">
        <v>196812.25</v>
      </c>
      <c r="D6" s="14">
        <v>189970.68</v>
      </c>
      <c r="E6" s="14">
        <v>199409.58000000002</v>
      </c>
      <c r="F6" s="14">
        <v>778134.41999999993</v>
      </c>
    </row>
    <row r="7" spans="1:6" x14ac:dyDescent="0.35">
      <c r="A7" s="13" t="s">
        <v>19</v>
      </c>
      <c r="B7" s="14">
        <v>197248.68000000002</v>
      </c>
      <c r="C7" s="14">
        <v>223007.53</v>
      </c>
      <c r="D7" s="14">
        <v>171876.91</v>
      </c>
      <c r="E7" s="14">
        <v>219902.77</v>
      </c>
      <c r="F7" s="14">
        <v>812035.89</v>
      </c>
    </row>
    <row r="8" spans="1:6" x14ac:dyDescent="0.35">
      <c r="A8" s="13" t="s">
        <v>21</v>
      </c>
      <c r="B8" s="14">
        <v>203115.31000000003</v>
      </c>
      <c r="C8" s="14">
        <v>232321.68999999997</v>
      </c>
      <c r="D8" s="14">
        <v>228193.73</v>
      </c>
      <c r="E8" s="14">
        <v>269768.8</v>
      </c>
      <c r="F8" s="14">
        <v>933399.53</v>
      </c>
    </row>
    <row r="9" spans="1:6" x14ac:dyDescent="0.35">
      <c r="A9" s="13" t="s">
        <v>67</v>
      </c>
      <c r="B9" s="14">
        <v>764290.39</v>
      </c>
      <c r="C9" s="14">
        <v>830913.80999999994</v>
      </c>
      <c r="D9" s="14">
        <v>757600.58</v>
      </c>
      <c r="E9" s="14">
        <v>858043.85000000009</v>
      </c>
      <c r="F9" s="14">
        <v>3210848.63</v>
      </c>
    </row>
    <row r="29" spans="1:6" x14ac:dyDescent="0.35">
      <c r="A29" s="12" t="s">
        <v>70</v>
      </c>
      <c r="B29" s="12" t="s">
        <v>68</v>
      </c>
    </row>
    <row r="30" spans="1:6" x14ac:dyDescent="0.35">
      <c r="A30" s="12" t="s">
        <v>66</v>
      </c>
      <c r="B30" t="s">
        <v>9</v>
      </c>
      <c r="C30" t="s">
        <v>7</v>
      </c>
      <c r="D30" t="s">
        <v>8</v>
      </c>
      <c r="E30" t="s">
        <v>10</v>
      </c>
      <c r="F30" t="s">
        <v>67</v>
      </c>
    </row>
    <row r="31" spans="1:6" x14ac:dyDescent="0.35">
      <c r="A31" s="13" t="s">
        <v>12</v>
      </c>
      <c r="B31" s="14">
        <v>46040.260000000009</v>
      </c>
      <c r="C31" s="14">
        <v>50009.100000000006</v>
      </c>
      <c r="D31" s="14">
        <v>48014.48</v>
      </c>
      <c r="E31" s="14">
        <v>50022.3</v>
      </c>
      <c r="F31" s="14">
        <v>194086.14</v>
      </c>
    </row>
    <row r="32" spans="1:6" x14ac:dyDescent="0.35">
      <c r="A32" s="13" t="s">
        <v>17</v>
      </c>
      <c r="B32" s="14">
        <v>58961.999999999993</v>
      </c>
      <c r="C32" s="14">
        <v>51658.60000000002</v>
      </c>
      <c r="D32" s="14">
        <v>47124.179999999986</v>
      </c>
      <c r="E32" s="14">
        <v>51869.85</v>
      </c>
      <c r="F32" s="14">
        <v>209614.63</v>
      </c>
    </row>
    <row r="33" spans="1:6" x14ac:dyDescent="0.35">
      <c r="A33" s="13" t="s">
        <v>19</v>
      </c>
      <c r="B33" s="14">
        <v>58594.11</v>
      </c>
      <c r="C33" s="14">
        <v>69564.590000000011</v>
      </c>
      <c r="D33" s="14">
        <v>56581.770000000004</v>
      </c>
      <c r="E33" s="14">
        <v>67462.03</v>
      </c>
      <c r="F33" s="14">
        <v>252202.50000000003</v>
      </c>
    </row>
    <row r="34" spans="1:6" x14ac:dyDescent="0.35">
      <c r="A34" s="13" t="s">
        <v>21</v>
      </c>
      <c r="B34" s="14">
        <v>48374.020000000004</v>
      </c>
      <c r="C34" s="14">
        <v>65562.599999999991</v>
      </c>
      <c r="D34" s="14">
        <v>65575.079999999987</v>
      </c>
      <c r="E34" s="14">
        <v>70513.739999999991</v>
      </c>
      <c r="F34" s="14">
        <v>250025.43999999997</v>
      </c>
    </row>
    <row r="35" spans="1:6" x14ac:dyDescent="0.35">
      <c r="A35" s="13" t="s">
        <v>67</v>
      </c>
      <c r="B35" s="14">
        <v>211970.39</v>
      </c>
      <c r="C35" s="14">
        <v>236794.89</v>
      </c>
      <c r="D35" s="14">
        <v>217295.50999999998</v>
      </c>
      <c r="E35" s="14">
        <v>239867.91999999998</v>
      </c>
      <c r="F35" s="14">
        <v>905928.71</v>
      </c>
    </row>
    <row r="39" spans="1:6" x14ac:dyDescent="0.35">
      <c r="A39" s="12" t="s">
        <v>5</v>
      </c>
      <c r="B39" t="s">
        <v>72</v>
      </c>
    </row>
    <row r="41" spans="1:6" x14ac:dyDescent="0.35">
      <c r="A41" s="12" t="s">
        <v>66</v>
      </c>
      <c r="B41" t="s">
        <v>69</v>
      </c>
      <c r="C41" t="s">
        <v>70</v>
      </c>
      <c r="D41" t="s">
        <v>71</v>
      </c>
    </row>
    <row r="42" spans="1:6" x14ac:dyDescent="0.35">
      <c r="A42" s="13" t="s">
        <v>9</v>
      </c>
      <c r="B42" s="14">
        <v>764290.39</v>
      </c>
      <c r="C42" s="14">
        <v>211970.39</v>
      </c>
      <c r="D42" s="14">
        <v>552320</v>
      </c>
    </row>
    <row r="43" spans="1:6" x14ac:dyDescent="0.35">
      <c r="A43" s="15" t="s">
        <v>18</v>
      </c>
      <c r="B43" s="14">
        <v>29594.129999999997</v>
      </c>
      <c r="C43" s="14">
        <v>7551.3399999999992</v>
      </c>
      <c r="D43" s="14">
        <v>22042.79</v>
      </c>
    </row>
    <row r="44" spans="1:6" x14ac:dyDescent="0.35">
      <c r="A44" s="15" t="s">
        <v>22</v>
      </c>
      <c r="B44" s="14">
        <v>10050.380000000001</v>
      </c>
      <c r="C44" s="14">
        <v>2648.2400000000002</v>
      </c>
      <c r="D44" s="14">
        <v>7402.14</v>
      </c>
    </row>
    <row r="45" spans="1:6" x14ac:dyDescent="0.35">
      <c r="A45" s="15" t="s">
        <v>11</v>
      </c>
      <c r="B45" s="14">
        <v>319003.11000000004</v>
      </c>
      <c r="C45" s="14">
        <v>103291.56</v>
      </c>
      <c r="D45" s="14">
        <v>215711.55</v>
      </c>
    </row>
    <row r="46" spans="1:6" x14ac:dyDescent="0.35">
      <c r="A46" s="15" t="s">
        <v>20</v>
      </c>
      <c r="B46" s="14">
        <v>77565.13</v>
      </c>
      <c r="C46" s="14">
        <v>23418.069999999996</v>
      </c>
      <c r="D46" s="14">
        <v>54147.060000000005</v>
      </c>
    </row>
    <row r="47" spans="1:6" x14ac:dyDescent="0.35">
      <c r="A47" s="15" t="s">
        <v>23</v>
      </c>
      <c r="B47" s="14">
        <v>5136.91</v>
      </c>
      <c r="C47" s="14">
        <v>1256.7199999999998</v>
      </c>
      <c r="D47" s="14">
        <v>3880.1900000000005</v>
      </c>
    </row>
    <row r="48" spans="1:6" x14ac:dyDescent="0.35">
      <c r="A48" s="15" t="s">
        <v>25</v>
      </c>
      <c r="B48" s="14">
        <v>59117.99</v>
      </c>
      <c r="C48" s="14">
        <v>14693.330000000002</v>
      </c>
      <c r="D48" s="14">
        <v>44424.659999999996</v>
      </c>
    </row>
    <row r="49" spans="1:4" x14ac:dyDescent="0.35">
      <c r="A49" s="15" t="s">
        <v>16</v>
      </c>
      <c r="B49" s="14">
        <v>166479.99</v>
      </c>
      <c r="C49" s="14">
        <v>36893.33</v>
      </c>
      <c r="D49" s="14">
        <v>129586.66</v>
      </c>
    </row>
    <row r="50" spans="1:4" x14ac:dyDescent="0.35">
      <c r="A50" s="15" t="s">
        <v>24</v>
      </c>
      <c r="B50" s="14">
        <v>97342.75</v>
      </c>
      <c r="C50" s="14">
        <v>22217.800000000003</v>
      </c>
      <c r="D50" s="14">
        <v>75124.950000000012</v>
      </c>
    </row>
    <row r="51" spans="1:4" x14ac:dyDescent="0.35">
      <c r="A51" s="13" t="s">
        <v>7</v>
      </c>
      <c r="B51" s="14">
        <v>830913.81</v>
      </c>
      <c r="C51" s="14">
        <v>236794.89</v>
      </c>
      <c r="D51" s="14">
        <v>594118.92000000004</v>
      </c>
    </row>
    <row r="52" spans="1:4" x14ac:dyDescent="0.35">
      <c r="A52" s="15" t="s">
        <v>18</v>
      </c>
      <c r="B52" s="14">
        <v>27154.47</v>
      </c>
      <c r="C52" s="14">
        <v>5231.7299999999987</v>
      </c>
      <c r="D52" s="14">
        <v>21922.739999999998</v>
      </c>
    </row>
    <row r="53" spans="1:4" x14ac:dyDescent="0.35">
      <c r="A53" s="15" t="s">
        <v>22</v>
      </c>
      <c r="B53" s="14">
        <v>10274.17</v>
      </c>
      <c r="C53" s="14">
        <v>2710.1899999999996</v>
      </c>
      <c r="D53" s="14">
        <v>7563.98</v>
      </c>
    </row>
    <row r="54" spans="1:4" x14ac:dyDescent="0.35">
      <c r="A54" s="15" t="s">
        <v>11</v>
      </c>
      <c r="B54" s="14">
        <v>314861.12000000005</v>
      </c>
      <c r="C54" s="14">
        <v>83098.530000000028</v>
      </c>
      <c r="D54" s="14">
        <v>231762.58999999997</v>
      </c>
    </row>
    <row r="55" spans="1:4" x14ac:dyDescent="0.35">
      <c r="A55" s="15" t="s">
        <v>20</v>
      </c>
      <c r="B55" s="14">
        <v>74243.61</v>
      </c>
      <c r="C55" s="14">
        <v>21269.89</v>
      </c>
      <c r="D55" s="14">
        <v>52973.72</v>
      </c>
    </row>
    <row r="56" spans="1:4" x14ac:dyDescent="0.35">
      <c r="A56" s="15" t="s">
        <v>23</v>
      </c>
      <c r="B56" s="14">
        <v>5260.48</v>
      </c>
      <c r="C56" s="14">
        <v>1458.7</v>
      </c>
      <c r="D56" s="14">
        <v>3801.7799999999997</v>
      </c>
    </row>
    <row r="57" spans="1:4" x14ac:dyDescent="0.35">
      <c r="A57" s="15" t="s">
        <v>25</v>
      </c>
      <c r="B57" s="14">
        <v>68515.92</v>
      </c>
      <c r="C57" s="14">
        <v>22954.2</v>
      </c>
      <c r="D57" s="14">
        <v>45561.72</v>
      </c>
    </row>
    <row r="58" spans="1:4" x14ac:dyDescent="0.35">
      <c r="A58" s="15" t="s">
        <v>16</v>
      </c>
      <c r="B58" s="14">
        <v>214069.37</v>
      </c>
      <c r="C58" s="14">
        <v>64971.74</v>
      </c>
      <c r="D58" s="14">
        <v>149097.63</v>
      </c>
    </row>
    <row r="59" spans="1:4" x14ac:dyDescent="0.35">
      <c r="A59" s="15" t="s">
        <v>24</v>
      </c>
      <c r="B59" s="14">
        <v>116534.66999999998</v>
      </c>
      <c r="C59" s="14">
        <v>35099.909999999996</v>
      </c>
      <c r="D59" s="14">
        <v>81434.759999999995</v>
      </c>
    </row>
    <row r="60" spans="1:4" x14ac:dyDescent="0.35">
      <c r="A60" s="13" t="s">
        <v>8</v>
      </c>
      <c r="B60" s="14">
        <v>757600.57999999984</v>
      </c>
      <c r="C60" s="14">
        <v>217295.50999999998</v>
      </c>
      <c r="D60" s="14">
        <v>540305.07000000007</v>
      </c>
    </row>
    <row r="61" spans="1:4" x14ac:dyDescent="0.35">
      <c r="A61" s="15" t="s">
        <v>18</v>
      </c>
      <c r="B61" s="14">
        <v>26650.14</v>
      </c>
      <c r="C61" s="14">
        <v>6439.3399999999983</v>
      </c>
      <c r="D61" s="14">
        <v>20210.800000000003</v>
      </c>
    </row>
    <row r="62" spans="1:4" x14ac:dyDescent="0.35">
      <c r="A62" s="15" t="s">
        <v>22</v>
      </c>
      <c r="B62" s="14">
        <v>11272.470000000001</v>
      </c>
      <c r="C62" s="14">
        <v>2959.9700000000003</v>
      </c>
      <c r="D62" s="14">
        <v>8312.5</v>
      </c>
    </row>
    <row r="63" spans="1:4" x14ac:dyDescent="0.35">
      <c r="A63" s="15" t="s">
        <v>11</v>
      </c>
      <c r="B63" s="14">
        <v>290345.28000000003</v>
      </c>
      <c r="C63" s="14">
        <v>90868.34</v>
      </c>
      <c r="D63" s="14">
        <v>199476.94</v>
      </c>
    </row>
    <row r="64" spans="1:4" x14ac:dyDescent="0.35">
      <c r="A64" s="15" t="s">
        <v>20</v>
      </c>
      <c r="B64" s="14">
        <v>76168.09</v>
      </c>
      <c r="C64" s="14">
        <v>20027.050000000003</v>
      </c>
      <c r="D64" s="14">
        <v>56141.039999999994</v>
      </c>
    </row>
    <row r="65" spans="1:4" x14ac:dyDescent="0.35">
      <c r="A65" s="15" t="s">
        <v>23</v>
      </c>
      <c r="B65" s="14">
        <v>5729.7599999999993</v>
      </c>
      <c r="C65" s="14">
        <v>1760.4900000000002</v>
      </c>
      <c r="D65" s="14">
        <v>3969.2700000000004</v>
      </c>
    </row>
    <row r="66" spans="1:4" x14ac:dyDescent="0.35">
      <c r="A66" s="15" t="s">
        <v>25</v>
      </c>
      <c r="B66" s="14">
        <v>57163.659999999996</v>
      </c>
      <c r="C66" s="14">
        <v>12764.639999999998</v>
      </c>
      <c r="D66" s="14">
        <v>44399.020000000004</v>
      </c>
    </row>
    <row r="67" spans="1:4" x14ac:dyDescent="0.35">
      <c r="A67" s="15" t="s">
        <v>16</v>
      </c>
      <c r="B67" s="14">
        <v>184026.36999999997</v>
      </c>
      <c r="C67" s="14">
        <v>52839.929999999993</v>
      </c>
      <c r="D67" s="14">
        <v>131186.44</v>
      </c>
    </row>
    <row r="68" spans="1:4" x14ac:dyDescent="0.35">
      <c r="A68" s="15" t="s">
        <v>24</v>
      </c>
      <c r="B68" s="14">
        <v>106244.81</v>
      </c>
      <c r="C68" s="14">
        <v>29635.750000000007</v>
      </c>
      <c r="D68" s="14">
        <v>76609.06</v>
      </c>
    </row>
    <row r="69" spans="1:4" x14ac:dyDescent="0.35">
      <c r="A69" s="13" t="s">
        <v>10</v>
      </c>
      <c r="B69" s="14">
        <v>858043.85</v>
      </c>
      <c r="C69" s="14">
        <v>239867.92</v>
      </c>
      <c r="D69" s="14">
        <v>618175.92999999993</v>
      </c>
    </row>
    <row r="70" spans="1:4" x14ac:dyDescent="0.35">
      <c r="A70" s="15" t="s">
        <v>18</v>
      </c>
      <c r="B70" s="14">
        <v>29369.82</v>
      </c>
      <c r="C70" s="14">
        <v>7270.12</v>
      </c>
      <c r="D70" s="14">
        <v>22099.7</v>
      </c>
    </row>
    <row r="71" spans="1:4" x14ac:dyDescent="0.35">
      <c r="A71" s="15" t="s">
        <v>22</v>
      </c>
      <c r="B71" s="14">
        <v>11685.990000000002</v>
      </c>
      <c r="C71" s="14">
        <v>3377.07</v>
      </c>
      <c r="D71" s="14">
        <v>8308.92</v>
      </c>
    </row>
    <row r="72" spans="1:4" x14ac:dyDescent="0.35">
      <c r="A72" s="15" t="s">
        <v>11</v>
      </c>
      <c r="B72" s="14">
        <v>351785.95999999996</v>
      </c>
      <c r="C72" s="14">
        <v>88683.54</v>
      </c>
      <c r="D72" s="14">
        <v>263102.42</v>
      </c>
    </row>
    <row r="73" spans="1:4" x14ac:dyDescent="0.35">
      <c r="A73" s="15" t="s">
        <v>20</v>
      </c>
      <c r="B73" s="14">
        <v>77361.239999999991</v>
      </c>
      <c r="C73" s="14">
        <v>26806.78</v>
      </c>
      <c r="D73" s="14">
        <v>50554.46</v>
      </c>
    </row>
    <row r="74" spans="1:4" x14ac:dyDescent="0.35">
      <c r="A74" s="15" t="s">
        <v>23</v>
      </c>
      <c r="B74" s="14">
        <v>5866.1100000000006</v>
      </c>
      <c r="C74" s="14">
        <v>1312.5500000000002</v>
      </c>
      <c r="D74" s="14">
        <v>4553.5600000000004</v>
      </c>
    </row>
    <row r="75" spans="1:4" x14ac:dyDescent="0.35">
      <c r="A75" s="15" t="s">
        <v>25</v>
      </c>
      <c r="B75" s="14">
        <v>62552.46</v>
      </c>
      <c r="C75" s="14">
        <v>14561.75</v>
      </c>
      <c r="D75" s="14">
        <v>47990.710000000006</v>
      </c>
    </row>
    <row r="76" spans="1:4" x14ac:dyDescent="0.35">
      <c r="A76" s="15" t="s">
        <v>16</v>
      </c>
      <c r="B76" s="14">
        <v>210815.49</v>
      </c>
      <c r="C76" s="14">
        <v>67615.890000000014</v>
      </c>
      <c r="D76" s="14">
        <v>143199.6</v>
      </c>
    </row>
    <row r="77" spans="1:4" x14ac:dyDescent="0.35">
      <c r="A77" s="15" t="s">
        <v>24</v>
      </c>
      <c r="B77" s="14">
        <v>108606.78</v>
      </c>
      <c r="C77" s="14">
        <v>30240.219999999998</v>
      </c>
      <c r="D77" s="14">
        <v>78366.559999999998</v>
      </c>
    </row>
    <row r="78" spans="1:4" x14ac:dyDescent="0.35">
      <c r="A78" s="13" t="s">
        <v>67</v>
      </c>
      <c r="B78" s="14">
        <v>3210848.6299999994</v>
      </c>
      <c r="C78" s="14">
        <v>905928.71000000008</v>
      </c>
      <c r="D78" s="14">
        <v>2304919.92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L2"/>
  <sheetViews>
    <sheetView showGridLines="0" showRowColHeaders="0" tabSelected="1" workbookViewId="0">
      <selection activeCell="D2" sqref="D2"/>
    </sheetView>
  </sheetViews>
  <sheetFormatPr defaultRowHeight="14.5" x14ac:dyDescent="0.35"/>
  <sheetData>
    <row r="1" spans="8:12" ht="26" x14ac:dyDescent="0.6">
      <c r="H1" s="16" t="s">
        <v>73</v>
      </c>
      <c r="I1" s="17"/>
      <c r="J1" s="17"/>
      <c r="K1" s="17"/>
      <c r="L1" s="17"/>
    </row>
    <row r="2" spans="8:12" x14ac:dyDescent="0.35">
      <c r="H2" s="17"/>
      <c r="I2" s="17"/>
      <c r="J2" s="17"/>
      <c r="K2" s="17"/>
      <c r="L2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Summary</vt:lpstr>
      <vt:lpstr>Read Me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2026-10-15T13:08:46Z</dcterms:created>
  <dcterms:modified xsi:type="dcterms:W3CDTF">2026-10-15T14:53:19Z</dcterms:modified>
</cp:coreProperties>
</file>